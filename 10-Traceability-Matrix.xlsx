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ility Matrix" sheetId="1" state="visible" r:id="rId3"/>
    <sheet name="BR &amp; Objective Status" sheetId="2" state="visible" r:id="rId4"/>
    <sheet name="Coverage Summary" sheetId="3" state="visible" r:id="rId5"/>
    <sheet name="Open Gaps &amp; Findings" sheetId="4" state="visible" r:id="rId6"/>
    <sheet name="Legend &amp; Methodolog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<sst xmlns="http://schemas.openxmlformats.org/spreadsheetml/2006/main" count="329" uniqueCount="246">
  <si>
    <t xml:space="preserve">10 — Requirements Traceability Matrix</t>
  </si>
  <si>
    <t xml:space="preserve">Project: Reducing Unplanned Equipment Downtime &amp; Improving Maintenance Reliability | Prepared by: Gagana Suresh | Date: 1 October 2026</t>
  </si>
  <si>
    <t xml:space="preserve">Maps every BRD functional requirement (03-BRD-Maintenance-Reporting.md) to its business requirement, user story (07-User-Stories.md), test case (08-Test-Cases.md), and prototype dashboard element.</t>
  </si>
  <si>
    <t xml:space="preserve">Dashboard Coverage = Full (dedicated element matching the BRD's display spec) / Partial (relevant but incomplete vs. spec) / None (no element exists) / N/A by design (process/CMMS requirement, not a reporting view).</t>
  </si>
  <si>
    <t xml:space="preserve">See 'Open Gaps &amp; Findings' tab for every coverage gap found, with severity and recommended action. See 'Legend &amp; Methodology' tab for full definitions.</t>
  </si>
  <si>
    <t xml:space="preserve">FR ID</t>
  </si>
  <si>
    <t xml:space="preserve">FR — Short Description</t>
  </si>
  <si>
    <t xml:space="preserve">BR ID</t>
  </si>
  <si>
    <t xml:space="preserve">Priority</t>
  </si>
  <si>
    <t xml:space="preserve">User Stor(y/ies)</t>
  </si>
  <si>
    <t xml:space="preserve">Test Case(s)</t>
  </si>
  <si>
    <t xml:space="preserve">Dashboard Element (Prototype)</t>
  </si>
  <si>
    <t xml:space="preserve">Dashboard
Coverage</t>
  </si>
  <si>
    <t xml:space="preserve">FR Status
Category</t>
  </si>
  <si>
    <t xml:space="preserve">FR Status — Detail</t>
  </si>
  <si>
    <t xml:space="preserve">Gap Ref</t>
  </si>
  <si>
    <t xml:space="preserve">FR-01</t>
  </si>
  <si>
    <t xml:space="preserve">Asset-level cumulative failure/cost rollup, drillable, 6/12/24-month window</t>
  </si>
  <si>
    <t xml:space="preserve">BR-01</t>
  </si>
  <si>
    <t xml:space="preserve">Must</t>
  </si>
  <si>
    <t xml:space="preserve">US-01, US-02, US-03</t>
  </si>
  <si>
    <t xml:space="preserve">TC-001–TC-013</t>
  </si>
  <si>
    <t xml:space="preserve">"Worst Offenders" worksheet (asset-level, RANK() top-5 highlight)</t>
  </si>
  <si>
    <t xml:space="preserve">Partial</t>
  </si>
  <si>
    <t xml:space="preserve">Ready</t>
  </si>
  <si>
    <t xml:space="preserve">Ready per BRD/backlog.</t>
  </si>
  <si>
    <t xml:space="preserve">G1</t>
  </si>
  <si>
    <t xml:space="preserve">FR-02</t>
  </si>
  <si>
    <t xml:space="preserve">Failure-mode Pareto, count + cost-weighted, side by side</t>
  </si>
  <si>
    <t xml:space="preserve">BR-02</t>
  </si>
  <si>
    <t xml:space="preserve">US-04</t>
  </si>
  <si>
    <t xml:space="preserve">TC-014–TC-017</t>
  </si>
  <si>
    <t xml:space="preserve">"Pareto" worksheet (failure-mode ranking)</t>
  </si>
  <si>
    <t xml:space="preserve">G2</t>
  </si>
  <si>
    <t xml:space="preserve">FR-03</t>
  </si>
  <si>
    <t xml:space="preserve">Asset-tier segmentation — failure rate and cost, side by side</t>
  </si>
  <si>
    <t xml:space="preserve">BR-03</t>
  </si>
  <si>
    <t xml:space="preserve">US-05</t>
  </si>
  <si>
    <t xml:space="preserve">TC-018–TC-020</t>
  </si>
  <si>
    <t xml:space="preserve">"Failure Rate by Tier" + "Downtime Hours by Tier" worksheets</t>
  </si>
  <si>
    <t xml:space="preserve">Full</t>
  </si>
  <si>
    <t xml:space="preserve">Ready per BRD/backlog. Cross-checked against Scope-Decisions-and-Limitations-Log locked figures (3.92%/2.77%/2.09%) and matched.</t>
  </si>
  <si>
    <t xml:space="preserve">FR-04</t>
  </si>
  <si>
    <t xml:space="preserve">Confidence/traceability disclosure — three-tag badge + drill-down on every figure</t>
  </si>
  <si>
    <t xml:space="preserve">US-06</t>
  </si>
  <si>
    <t xml:space="preserve">TC-021–TC-024</t>
  </si>
  <si>
    <t xml:space="preserve">None</t>
  </si>
  <si>
    <t xml:space="preserve">Ready per BRD/backlog, but NOT present anywhere in the current Tableau Public prototype.</t>
  </si>
  <si>
    <t xml:space="preserve">G3</t>
  </si>
  <si>
    <t xml:space="preserve">FR-05</t>
  </si>
  <si>
    <t xml:space="preserve">Planned/unplanned flag at point of work-order entry</t>
  </si>
  <si>
    <t xml:space="preserve">US-07</t>
  </si>
  <si>
    <t xml:space="preserve">TC-025–TC-027</t>
  </si>
  <si>
    <t xml:space="preserve">N/A — CMMS data-capture/process requirement, not a reporting view</t>
  </si>
  <si>
    <t xml:space="preserve">N/A by design</t>
  </si>
  <si>
    <t xml:space="preserve">Blocked</t>
  </si>
  <si>
    <t xml:space="preserve">Blocked — BRD §17 Action 1 (frontline validation) and Action 2 (CMMS/IT platform feasibility) both still open.</t>
  </si>
  <si>
    <t xml:space="preserve">G6</t>
  </si>
  <si>
    <t xml:space="preserve">FR-06</t>
  </si>
  <si>
    <t xml:space="preserve">Corrected repair-duration capture (minimum bar: reassignment flag; stretch: live timestamps)</t>
  </si>
  <si>
    <t xml:space="preserve">US-08, US-09</t>
  </si>
  <si>
    <t xml:space="preserve">TC-028–TC-030</t>
  </si>
  <si>
    <t xml:space="preserve">Blocked — BRD §17 Action 1 and Action 2 both still open.</t>
  </si>
  <si>
    <t xml:space="preserve">FR-07</t>
  </si>
  <si>
    <t xml:space="preserve">Amber-trend automatic escalation after N consecutive review cycles</t>
  </si>
  <si>
    <t xml:space="preserve">BR-06</t>
  </si>
  <si>
    <t xml:space="preserve">Should</t>
  </si>
  <si>
    <t xml:space="preserve">US-10</t>
  </si>
  <si>
    <t xml:space="preserve">TC-031–TC-033</t>
  </si>
  <si>
    <t xml:space="preserve">N/A — automated backend rule, not a reporting view</t>
  </si>
  <si>
    <t xml:space="preserve">Blocked — BRD §17 Action 4 (Reliability Engineer has not yet confirmed the 3-cycle threshold).</t>
  </si>
  <si>
    <t xml:space="preserve">FR-08</t>
  </si>
  <si>
    <t xml:space="preserve">Calibration date logged and displayed against sensor ID</t>
  </si>
  <si>
    <t xml:space="preserve">US-11</t>
  </si>
  <si>
    <t xml:space="preserve">TC-034–TC-036</t>
  </si>
  <si>
    <t xml:space="preserve">Not built in current prototype (no sensor-level calibration view in Tableau Public build)</t>
  </si>
  <si>
    <t xml:space="preserve">Ready per BRD/backlog; simply outside the 4-worksheet prototype's current scope.</t>
  </si>
  <si>
    <t xml:space="preserve">FR-09</t>
  </si>
  <si>
    <t xml:space="preserve">Non-disciplinary contributing-factor field at work-order close-out</t>
  </si>
  <si>
    <t xml:space="preserve">US-12</t>
  </si>
  <si>
    <t xml:space="preserve">TC-037–TC-038</t>
  </si>
  <si>
    <t xml:space="preserve">N/A — CMMS close-out field, not a reporting view</t>
  </si>
  <si>
    <t xml:space="preserve">Blocked — Risk 7 / BRD §17 Action 1: no Operations-side stakeholder has reviewed this field yet.</t>
  </si>
  <si>
    <t xml:space="preserve">FR-10</t>
  </si>
  <si>
    <t xml:space="preserve">Fixed-plant frequency-only treatment reconciled across all reports</t>
  </si>
  <si>
    <t xml:space="preserve">US-13</t>
  </si>
  <si>
    <t xml:space="preserve">TC-039</t>
  </si>
  <si>
    <t xml:space="preserve">Reflected in "Downtime Hours by Tier" (Fixed plant/Ancillary shown without a $ figure, consistent with Option B/C)</t>
  </si>
  <si>
    <t xml:space="preserve">FR-11</t>
  </si>
  <si>
    <t xml:space="preserve">Preventable-vs-random failure split view (TWF/HDF/PWF/OSF vs. RNF)</t>
  </si>
  <si>
    <t xml:space="preserve">BR-04</t>
  </si>
  <si>
    <t xml:space="preserve">US-14</t>
  </si>
  <si>
    <t xml:space="preserve">TC-040–TC-042</t>
  </si>
  <si>
    <t xml:space="preserve">Ready per BRD/backlog, but NOT present on the dashboard — despite the underlying figure (97.3% preventable) already being fully computed in EDA-Findings.md.</t>
  </si>
  <si>
    <t xml:space="preserve">G4</t>
  </si>
  <si>
    <t xml:space="preserve">FR-12</t>
  </si>
  <si>
    <t xml:space="preserve">Torque/tool-wear overstrain threshold display</t>
  </si>
  <si>
    <t xml:space="preserve">BR-05</t>
  </si>
  <si>
    <t xml:space="preserve">US-15</t>
  </si>
  <si>
    <t xml:space="preserve">TC-043–TC-045</t>
  </si>
  <si>
    <t xml:space="preserve">Ready — Q5 threshold analysis performed 1 Oct 2026 (EDA-Findings.md): tool_wear x torque &gt; tier threshold, 100% precision / 100% recall against the pre-registered 90%/90% bar (98 TP, 0 FP, 0 FN). Gap G5 resolved via real analysis, not relabeling. Display element itself still not built (dashboard coverage: None).</t>
  </si>
  <si>
    <t xml:space="preserve">G5 (resolved)</t>
  </si>
  <si>
    <t xml:space="preserve">FR-13</t>
  </si>
  <si>
    <t xml:space="preserve">Precursor-pattern classification display (detectable/not detectable/inconclusive)</t>
  </si>
  <si>
    <t xml:space="preserve">US-16</t>
  </si>
  <si>
    <t xml:space="preserve">TC-046–TC-048</t>
  </si>
  <si>
    <t xml:space="preserve">Ready — Q6 precursor-detectability analysis performed 1 Oct 2026 (EDA-Findings.md): HDF/PWF/OSF Detectable-deterministic, TWF Detectable-probabilistic, RNF correctly Not detectable, all against the same pre-registered 90%/90% bar. Gap G5 resolved via real analysis, not relabeling. Display element itself still not built (dashboard coverage: None).</t>
  </si>
  <si>
    <t xml:space="preserve">FR-14</t>
  </si>
  <si>
    <t xml:space="preserve">Simplified, consistent cause-code taxonomy (proposed, not yet adopted)</t>
  </si>
  <si>
    <t xml:space="preserve">— (proposed; no BR)</t>
  </si>
  <si>
    <t xml:space="preserve">Proposed</t>
  </si>
  <si>
    <t xml:space="preserve">US-17</t>
  </si>
  <si>
    <t xml:space="preserve">TC-049</t>
  </si>
  <si>
    <t xml:space="preserve">N/A — proposed CMMS field, not yet adopted into BRD scope</t>
  </si>
  <si>
    <t xml:space="preserve">Proposed — not yet in BRD. Not counted toward committed engagement scope per 07-User-Stories.md.</t>
  </si>
  <si>
    <t xml:space="preserve">Business Requirement &amp; Charter Objective Status</t>
  </si>
  <si>
    <t xml:space="preserve">Cross-references BR-01–BR-06 (03-BRD-Maintenance-Reporting.md §7) against their Charter objective (01-Project-Charter.md §2/§4) and named reviewer.</t>
  </si>
  <si>
    <t xml:space="preserve">'# FRs per Matrix tab (formula)' recomputes live from the Traceability Matrix tab — a cross-check that the hardcoded FR list below hasn't drifted from the matrix.</t>
  </si>
  <si>
    <t xml:space="preserve">'Objective status' is the Business Analyst's own assessment as of 1 Oct 2026, not a formal sign-off — formal sign-off is tracked separately in 01-Project-Charter.md §4 and 03-BRD-Maintenance-Reporting.md §16.</t>
  </si>
  <si>
    <t xml:space="preserve">Charter Objective</t>
  </si>
  <si>
    <t xml:space="preserve">Reviewer(s)</t>
  </si>
  <si>
    <t xml:space="preserve">FR(s) mapped (reference)</t>
  </si>
  <si>
    <t xml:space="preserve"># FRs per Matrix tab (formula)</t>
  </si>
  <si>
    <t xml:space="preserve">Objective status — honest assessment, 1 Oct 2026</t>
  </si>
  <si>
    <t xml:space="preserve">O1 — Quantify total unplanned-downtime hours and cost lost</t>
  </si>
  <si>
    <t xml:space="preserve">Finance/Cost Controller</t>
  </si>
  <si>
    <t xml:space="preserve">FR-01, FR-04, FR-05, FR-06, FR-09, FR-10</t>
  </si>
  <si>
    <t xml:space="preserve">Partially met. Mobile-fleet $ figure is complete and reconciled (06-Business-Case.xlsx); Fixed plant/Ancillary remain frequency-only by disclosed decision (Option B/C), not a gap. FR-04's disclosure mechanism (G3) and the four CMMS process FRs (G6) are not yet built. Finance/Cost Controller sign-off not yet obtained.</t>
  </si>
  <si>
    <t xml:space="preserve">O2 — Rank failure modes by downtime/cost share (Pareto)</t>
  </si>
  <si>
    <t xml:space="preserve">Reliability Engineer</t>
  </si>
  <si>
    <t xml:space="preserve">Partially met. Count-based ranking is dataset-complete and corrected (OSF-undercount fix, 10 Sept). Dashboard shows a single Pareto view, not FR-02's full side-by-side count + cost-weighted + dual-metric spec (G2). Reliability Engineer sign-off not yet obtained.</t>
  </si>
  <si>
    <t xml:space="preserve">O3 — Determine which asset tier drives highest failure rate/cost; assess differentiated-investment case</t>
  </si>
  <si>
    <t xml:space="preserve">Reliability Engineer + Finance/Cost Controller</t>
  </si>
  <si>
    <t xml:space="preserve">Partially met. Failure rate and cost are reported and displayed per tier (Full dashboard coverage). The differentiated-investment yes/no recommendation itself has NOT yet been formally stated against a pre-agreed materiality threshold, as O3's own success criterion requires — that threshold has not yet been set.</t>
  </si>
  <si>
    <t xml:space="preserve">O4 — Quantify preventable vs. random failure proportion</t>
  </si>
  <si>
    <t xml:space="preserve">Data-complete, display-incomplete. 97.3% preventable / multi-flag and RNF caveats are fully computed and documented (EDA-Findings.md). Not yet shown on the dashboard (G4) and not yet reviewed by the Reliability Engineer.</t>
  </si>
  <si>
    <t xml:space="preserve">O5 — Test a torque/tool-wear threshold for a proactive replacement policy</t>
  </si>
  <si>
    <t xml:space="preserve">Met, pending formal review. Q5 analysis performed 1 Oct 2026 (EDA-Findings.md): the documented tool_wear x torque overstrain threshold achieves 100% precision / 100% recall against a pre-registered 90%/90% bar (98 TP, 0 FP, 0 FN) — a GO recommendation. This is the Business Analyst's own assessment as of 1 Oct 2026, not a formal sign-off; Reliability Engineer review has not yet been obtained. 07-User-Stories.md and 08-Test-Cases.md's Ready/Executable status is now substantiated — Gap G5 resolved, see Scope-Decisions-and-Limitations-Log.md.</t>
  </si>
  <si>
    <t xml:space="preserve">O6 — Identify failure modes with detectable sensor precursor patterns</t>
  </si>
  <si>
    <t xml:space="preserve">Reliability Engineer + Project Sponsor</t>
  </si>
  <si>
    <t xml:space="preserve">FR-07, FR-08, FR-13</t>
  </si>
  <si>
    <t xml:space="preserve">Met for 4 of 5 failure modes, pending formal review. Q6 analysis performed 1 Oct 2026 (EDA-Findings.md): HDF and PWF are Detectable-deterministic (100%/100%), OSF likewise (cross-referenced to Q5), TWF is Detectable-probabilistic (93.5% recall, only 5.4% precision — correctly fails the precision leg of the pre-registered bar rather than being forced into a pass), and RNF is correctly Not detectable (the expected null result for a documented ~0.1% random trigger). A new limitation travels with all five results: AI4I's cross-sectional data proves these conditions are distinguishable, not that genuine advance lead time exists. This is the Business Analyst's own assessment as of 1 Oct 2026, not a formal sign-off; Reliability Engineer review has not yet been obtained. FR-07 and FR-08 remain Blocked/unbuilt respectively, independent of this finding.</t>
  </si>
  <si>
    <t xml:space="preserve">Coverage Summary</t>
  </si>
  <si>
    <t xml:space="preserve">All figures below recompute live from the 'Traceability Matrix' tab (COUNTIF/COUNTIFS formulas) — edit a row there and these numbers update, they are never hardcoded.</t>
  </si>
  <si>
    <t xml:space="preserve">Benchmark: 01-Project-Charter.md §4, O0 — 'every functional requirement in the BRD has a corresponding test case and dashboard element in the traceability matrix, with zero orphaned requirements at hand-over.'</t>
  </si>
  <si>
    <t xml:space="preserve">Metric</t>
  </si>
  <si>
    <t xml:space="preserve">Value</t>
  </si>
  <si>
    <t xml:space="preserve">Total functional requirements (FR-01–FR-14)</t>
  </si>
  <si>
    <t xml:space="preserve">  — Must priority</t>
  </si>
  <si>
    <t xml:space="preserve">  — Should priority</t>
  </si>
  <si>
    <t xml:space="preserve">  — Proposed / unprioritized</t>
  </si>
  <si>
    <t xml:space="preserve">FRs with at least one User Story</t>
  </si>
  <si>
    <t xml:space="preserve">Target: 100% — every numbered FR must have a backlog story.</t>
  </si>
  <si>
    <t xml:space="preserve">FRs with at least one Test Case</t>
  </si>
  <si>
    <t xml:space="preserve">Target: 100% — every numbered FR must have UAT coverage designed.</t>
  </si>
  <si>
    <t xml:space="preserve">FR Status — Ready</t>
  </si>
  <si>
    <t xml:space="preserve">FR Status — Blocked</t>
  </si>
  <si>
    <t xml:space="preserve">FR Status — Proposed</t>
  </si>
  <si>
    <t xml:space="preserve">FR Status — See Gap (status itself disputed)</t>
  </si>
  <si>
    <t xml:space="preserve">Expected: 0. FR-12/FR-13 carried this status until Gap G5 was resolved 1 Oct 2026 via real Q5/Q6 analysis — see Scope-Decisions-and-Limitations-Log.md.</t>
  </si>
  <si>
    <t xml:space="preserve">Dashboard coverage — Full</t>
  </si>
  <si>
    <t xml:space="preserve">Dashboard coverage — Partial</t>
  </si>
  <si>
    <t xml:space="preserve">Dashboard coverage — None  (ORPHANED per Charter O0)</t>
  </si>
  <si>
    <t xml:space="preserve">This is the headline number against O0's 'zero orphaned requirements' standard. Currently non-zero — see Open Gaps tab.</t>
  </si>
  <si>
    <t xml:space="preserve">Dashboard coverage — N/A by design (process/CMMS FRs)</t>
  </si>
  <si>
    <t xml:space="preserve">Not a gap — these FRs change a workflow, not a report, so a dashboard element isn't the right artifact for them.</t>
  </si>
  <si>
    <t xml:space="preserve">Must-priority FRs with Full or Partial dashboard coverage</t>
  </si>
  <si>
    <t xml:space="preserve">Out of Must-priority FRs — see next row for the denominator.</t>
  </si>
  <si>
    <t xml:space="preserve">Total Must-priority FRs</t>
  </si>
  <si>
    <t xml:space="preserve">Open Gaps &amp; Findings</t>
  </si>
  <si>
    <t xml:space="preserve">This is the substantive output of building this matrix, not a formality — every row below is a real, specific gap found by cross-checking the BRD against the backlog, the test suite, the dashboard, and the EDA findings against each other.</t>
  </si>
  <si>
    <t xml:space="preserve">Severity: High = a Must-level reporting gap, or a cross-document factual inconsistency. Medium = already known/tracked elsewhere, restated here for completeness so this matrix is a genuinely complete picture, not a partial one.</t>
  </si>
  <si>
    <t xml:space="preserve">Gap ID</t>
  </si>
  <si>
    <t xml:space="preserve">Severity</t>
  </si>
  <si>
    <t xml:space="preserve">Requirement(s) / Objective(s) Affected</t>
  </si>
  <si>
    <t xml:space="preserve">Description</t>
  </si>
  <si>
    <t xml:space="preserve">Recommended Action</t>
  </si>
  <si>
    <t xml:space="preserve">Status</t>
  </si>
  <si>
    <t xml:space="preserve">Medium</t>
  </si>
  <si>
    <t xml:space="preserve">FR-01 (Must), BR-01</t>
  </si>
  <si>
    <t xml:space="preserve">The prototype's "Worst Offenders" worksheet shows a static top-5 ranked asset view. The BRD's full FR-01 spec requires a 6/12/24-month window selector, a month-over-month trend indicator, and drill-down to source work orders — none of which exist in the Tableau Public prototype.</t>
  </si>
  <si>
    <t xml:space="preserve">DECIDED 1 Oct 2026: deferred, not built. Expected and acceptable for a standalone, non-production prototype (Charter §3) — the gap is between 'prototype' and 'production system,' which the Charter already anticipates, not an oversight. State this explicitly in the README/video rather than implying the dashboard is the finished FR-01 capability.</t>
  </si>
  <si>
    <t xml:space="preserve">Closed by decision — deferred permanently (out of this engagement's scope per Charter §3), not carried forward as an open task.</t>
  </si>
  <si>
    <t xml:space="preserve">FR-02 (Must), BR-02</t>
  </si>
  <si>
    <t xml:space="preserve">The dashboard's "Pareto" worksheet shows one ranking (count-based, with the known &gt;100% effect from multi-flag true-occurrence counting). FR-02 requires count and cost-weighted rankings displayed side by side, with neither marked authoritative.</t>
  </si>
  <si>
    <t xml:space="preserve">DECIDED 1 Oct 2026: deferred to the Final repo pass (Reconciled-Finish-Schedule.md) alongside G3/G4, since all three require re-opening the Tableau Public workbook in a computer-use session rather than a documentation-only pass. If time allows during that pass, add a second worksheet showing the cost-weighted ranking for Mobile fleet (the only tier with a $ figure); if not, disclose as a named prototype-vs-production-spec gap in the README/video rather than silently implying full FR-02 compliance.</t>
  </si>
  <si>
    <t xml:space="preserve">Deferred to Final repo pass — stated reason given, not silently carried forward.</t>
  </si>
  <si>
    <t xml:space="preserve">High</t>
  </si>
  <si>
    <t xml:space="preserve">FR-04 (Must), BR-01</t>
  </si>
  <si>
    <t xml:space="preserve">The three-tag (Dataset-derived / Cited source / Labeled assumption) disclosure system — the Financial Controller's own stated non-negotiable standard (BRD §3, §9) — has zero presence anywhere on the dashboard. Tableau Public has no native per-figure tagging/badge mechanism.</t>
  </si>
  <si>
    <t xml:space="preserve">DECIDED 1 Oct 2026: deferred to the Final repo pass, not fixed here — this documentation-consistency pass is text-only and has no Tableau Desktop/computer-use access to edit the published workbook. When that pass runs, add a visible caption or annotation on each worksheet naming its data source and tag (e.g., "Failure counts: DATASET (AI4I 2020 re-skinned). Repair-time benchmark: CITED SOURCE, see Assumptions &amp; Sources.") as a lower-fidelity but honest substitute within Tableau Public's real capability, and state in the README/video that full FR-04 badge/drill-down behavior needs a production BI tool beyond this prototype.</t>
  </si>
  <si>
    <t xml:space="preserve">Deferred to Final repo pass — High severity, do not drop; stated reason (no dashboard-editing access in this pass) given.</t>
  </si>
  <si>
    <t xml:space="preserve">FR-11 (Must), BR-04</t>
  </si>
  <si>
    <t xml:space="preserve">The preventable-vs-random split (97.3% preventable; TWF/HDF/PWF/OSF individually; RNF's labelling-inconsistency caveat) is fully computed and documented in EDA-Findings.md, but has no corresponding dashboard worksheet at all.</t>
  </si>
  <si>
    <t xml:space="preserve">DECIDED 1 Oct 2026: deferred to the Final repo pass, same reason as G3 — no Tableau-editing access in this text-only documentation-consistency pass. This is the cheapest of the three dashboard gaps to close once that session runs: the number already exists, nothing new needs to be analyzed, only a 5th worksheet (a stacked bar or KPI tiles) needs to be added.</t>
  </si>
  <si>
    <t xml:space="preserve">Deferred to Final repo pass — High severity, do not drop; stated reason given.</t>
  </si>
  <si>
    <t xml:space="preserve">G5</t>
  </si>
  <si>
    <t xml:space="preserve">FR-12, FR-13 (Should), BR-05, BR-06 — cross-document consistency finding</t>
  </si>
  <si>
    <t xml:space="preserve">EDA-Findings.md stated explicitly that Q5 (torque/tool-wear threshold) and Q6 (precursor-pattern detection) had NOT been analyzed yet ("the next layer of EDA work, not answered here"), while 07-User-Stories.md marked US-15/US-16 Status: Ready and 08-Test-Cases.md marked TC-043–048 Executable against that non-existent analysis — a test case cannot genuinely be executable against an analysis that doesn't exist. RESOLVED 1 Oct 2026: the real Q5/Q6 statistical analysis was run against a pre-registered 90% precision / 90% recall bar (fixed before testing, to satisfy Charter O5's anti-bare-correlation requirement), using the real, canonical AI4I 2020 dataset. Q5 (OSF threshold): 100%/100%, GO. Q6: HDF/PWF/OSF Detectable-deterministic, TWF Detectable-probabilistic, RNF correctly Not detectable. Full methodology, results, and a new cross-sectional-vs-longitudinal limitation (the data proves distinguishability, not advance lead time) are recorded in EDA-Findings.md and Scope-Decisions-and-Limitations-Log.md.</t>
  </si>
  <si>
    <t xml:space="preserve">Action taken, not merely recommended: Gagana chose to run the real analysis rather than relabel the backlog (option (1) of two options presented). FR-12/FR-13 status updated to Ready in this matrix's Traceability Matrix tab, with detail text naming the specific result; US-15/16 and TC-043–048 are now legitimately substantiated, not just relabeled. Remaining open item: formal Reliability Engineer sign-off on both findings has not yet been obtained — tracked as a BR-05/BR-06 status note on the 'BR &amp; Objective Status' tab, not a new gap.</t>
  </si>
  <si>
    <t xml:space="preserve">Resolved — 1 October 2026.</t>
  </si>
  <si>
    <t xml:space="preserve">FR-05, FR-06, FR-07, FR-09 (Must/Should), BR-01, BR-06</t>
  </si>
  <si>
    <t xml:space="preserve">These are CMMS data-capture/process-change requirements, not reporting views, so "no dashboard element" is correct by design, not a gap. Their real open item is that each remains Blocked pending a validation action already named in the BRD: frontline sign-off and CMMS/IT feasibility (FR-05, FR-06, FR-09), and Reliability Engineer threshold confirmation (FR-07).</t>
  </si>
  <si>
    <t xml:space="preserve">DECIDED 1 Oct 2026: deferred by nature, not by oversight — these four FRs are blocked on stakeholder validation (frontline tradespeople, CMMS/IT system owner, Reliability Engineer) that this project's interview phase deliberately did not reach (BRD §17, disclosed scope boundary, not a gap this project can close itself). No new action beyond what BRD §17 Actions 1, 2, and 4, and Risk 7 already specify.</t>
  </si>
  <si>
    <t xml:space="preserve">Closed by decision — permanently deferred to a real engagement's next phase; tracked in BRD §17, not carried forward here as if newly open.</t>
  </si>
  <si>
    <t xml:space="preserve">G7</t>
  </si>
  <si>
    <t xml:space="preserve">NFR-05 / AC-6 (BRD §15), US-03 AC3, TC-011</t>
  </si>
  <si>
    <t xml:space="preserve">The finance/ERP reconciliation tolerance that AC-6 requires be agreed with the Financial Controller has not yet been set — it blocks TC-011 from being executable.</t>
  </si>
  <si>
    <t xml:space="preserve">DECIDED 1 Oct 2026: deferred by nature, not by oversight — this requires a live Financial Controller negotiation this project's interview phase is already complete and cannot reopen within the current scope. No new action beyond what BRD §17 Action 3 already specifies.</t>
  </si>
  <si>
    <t xml:space="preserve">G8</t>
  </si>
  <si>
    <t xml:space="preserve">Dashboard (all failure-mode labels), 09-Benefit-Realization-Report.md §8</t>
  </si>
  <si>
    <t xml:space="preserve">The dashboard's full failure-mode names (HDF = Heat dissipation, OSF = Overstrain, PWF = Power, TWF = Tool wear, RNF = Random) had not yet been verified against the actual AI4I 2020 source documentation — carried forward three times since 30 Sept 2026.</t>
  </si>
  <si>
    <t xml:space="preserve">RESOLVED 1 Oct 2026, as a direct by-product of sourcing the Q5/Q6 analysis: verified all five full names directly against the dataset's own documented generation mechanism (Matzka, S. (2020), IEEE AI4I, doi.org/10.1109/AI4I49448.2020.00023). All five names match the dashboard's existing labels exactly — no rebuild or relabeling needed.</t>
  </si>
  <si>
    <t xml:space="preserve">Resolved — 1 October 2026. See Reconciled-Finish-Schedule.md and Scope-Decisions-and-Limitations-Log.md for the full record.</t>
  </si>
  <si>
    <t xml:space="preserve">Legend &amp; Methodology</t>
  </si>
  <si>
    <t xml:space="preserve">How to read every tab in this workbook.</t>
  </si>
  <si>
    <t xml:space="preserve">Technique used to build this document (for the Prompt Library)</t>
  </si>
  <si>
    <t xml:space="preserve">Technique</t>
  </si>
  <si>
    <t xml:space="preserve">Chain-of-thought cross-document reconciliation: every FR was traced forward (does a story exist? a test case? a dashboard element?) and every claimed 'Ready'/'Executable' status was traced backward against the document it actually depends on (does the underlying analysis or data genuinely exist?). The backward pass is what surfaced G5 — a real inconsistency, not a hypothetical one.</t>
  </si>
  <si>
    <t xml:space="preserve">Dashboard Coverage column</t>
  </si>
  <si>
    <t xml:space="preserve">A dedicated dashboard element exists and matches the BRD's display requirement for that FR.</t>
  </si>
  <si>
    <t xml:space="preserve">A dashboard element exists and is relevant, but does not meet the BRD's full spec for that FR (e.g., missing a sub-feature such as drill-down or a second ranking).</t>
  </si>
  <si>
    <t xml:space="preserve">No dashboard element exists for this FR at all, and the FR is a reporting/display requirement (so one should exist).</t>
  </si>
  <si>
    <t xml:space="preserve">This FR changes a workflow or data-capture process, not a report — it was never meant to produce a dashboard element. Not a gap.</t>
  </si>
  <si>
    <t xml:space="preserve">FR Status Category column</t>
  </si>
  <si>
    <t xml:space="preserve">No open validation gap blocks build, per 07-User-Stories.md.</t>
  </si>
  <si>
    <t xml:space="preserve">A named BRD §17 action or Risk explicitly holds this requirement from build — see the Status Detail column for the exact citation.</t>
  </si>
  <si>
    <t xml:space="preserve">Not yet a numbered BRD requirement (FR-14 only) — tracked for visibility, not counted toward committed scope.</t>
  </si>
  <si>
    <t xml:space="preserve">See Gap</t>
  </si>
  <si>
    <t xml:space="preserve">The status itself is disputed by this matrix's cross-check — see the named Gap in the Open Gaps tab before trusting the backlog's own label.</t>
  </si>
  <si>
    <t xml:space="preserve">Scope note — why some gaps are expected, not defects</t>
  </si>
  <si>
    <t xml:space="preserve">Prototype vs. production</t>
  </si>
  <si>
    <t xml:space="preserve">01-Project-Charter.md §3 explicitly scopes the dashboard as a "standalone prototype dashboard built against a static extract... explicitly not a live, CMMS-integrated production tool." Gaps G1 and G2 are the expected distance between a prototype and the BRD's full production-grade spec — they are disclosed here, not hidden, consistent with this project's standing data-integrity rule.</t>
  </si>
  <si>
    <t xml:space="preserve">Must-level ≠ automatically built</t>
  </si>
  <si>
    <t xml:space="preserve">A requirement being Must-priority means it was validated as necessary — it does not mean it has already been built. G3 and G4 are both Must-level requirements that are validated, scoped, and simply not yet implemented in this specific prototype iteration.</t>
  </si>
  <si>
    <t xml:space="preserve">Related documents</t>
  </si>
  <si>
    <t xml:space="preserve">Source of FR/BR definitions</t>
  </si>
  <si>
    <t xml:space="preserve">03-BRD-Maintenance-Reporting.md v2, Section 7 (BRs) and Section 8 (FRs).</t>
  </si>
  <si>
    <t xml:space="preserve">Source of User Stories</t>
  </si>
  <si>
    <t xml:space="preserve">07-User-Stories.md, 28 Sept 2026 — 17 stories across 8 epics.</t>
  </si>
  <si>
    <t xml:space="preserve">Source of Test Cases</t>
  </si>
  <si>
    <t xml:space="preserve">08-Test-Cases.md, 30 Sept 2026 — 49 test cases.</t>
  </si>
  <si>
    <t xml:space="preserve">Source of dashboard scope</t>
  </si>
  <si>
    <t xml:space="preserve">Reconciled-Finish-Schedule.md (dashboard rebuild entry, 30 Sept 2026) and the Tableau Public workbook itself.</t>
  </si>
  <si>
    <t xml:space="preserve">Source of EDA findings</t>
  </si>
  <si>
    <t xml:space="preserve">EDA-Findings.md, last updated 1 Oct 2026 — Q1–Q6 all answered. Q5/Q6 were added 1 Oct 2026 via real statistical analysis against a pre-registered bar, closing Gap G5.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</si>
</sst>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B5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4B5A"/>
        <bgColor rgb="FF333333"/>
      </patternFill>
    </fill>
    <fill>
      <patternFill patternType="solid">
        <fgColor rgb="FFFFF3CD"/>
        <bgColor rgb="FFE9ECEF"/>
      </patternFill>
    </fill>
    <fill>
      <patternFill patternType="solid">
        <fgColor rgb="FFD4EDDA"/>
        <bgColor rgb="FFE9ECEF"/>
      </patternFill>
    </fill>
    <fill>
      <patternFill patternType="solid">
        <fgColor rgb="FFF8D7DA"/>
        <bgColor rgb="FFE9ECEF"/>
      </patternFill>
    </fill>
    <fill>
      <patternFill patternType="solid">
        <fgColor rgb="FFE9ECEF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9EC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4B5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32"/>
    <col collapsed="false" customWidth="true" hidden="false" outlineLevel="0" max="11" min="11" style="0" width="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3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3.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13.5" hidden="false" customHeight="true" outlineLevel="0" collapsed="false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</row>
    <row r="7" customFormat="false" ht="31.5" hidden="false" customHeight="true" outlineLevel="0" collapsed="false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</row>
    <row r="8" customFormat="false" ht="45.75" hidden="false" customHeight="true" outlineLevel="0" collapsed="false">
      <c r="A8" s="4" t="s">
        <v>16</v>
      </c>
      <c r="B8" s="5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5" t="s">
        <v>22</v>
      </c>
      <c r="H8" s="6" t="s">
        <v>23</v>
      </c>
      <c r="I8" s="7" t="s">
        <v>24</v>
      </c>
      <c r="J8" s="5" t="s">
        <v>25</v>
      </c>
      <c r="K8" s="4" t="s">
        <v>26</v>
      </c>
    </row>
    <row r="9" customFormat="false" ht="45.75" hidden="false" customHeight="true" outlineLevel="0" collapsed="false">
      <c r="A9" s="4" t="s">
        <v>27</v>
      </c>
      <c r="B9" s="5" t="s">
        <v>28</v>
      </c>
      <c r="C9" s="4" t="s">
        <v>29</v>
      </c>
      <c r="D9" s="4" t="s">
        <v>19</v>
      </c>
      <c r="E9" s="4" t="s">
        <v>30</v>
      </c>
      <c r="F9" s="4" t="s">
        <v>31</v>
      </c>
      <c r="G9" s="5" t="s">
        <v>32</v>
      </c>
      <c r="H9" s="6" t="s">
        <v>23</v>
      </c>
      <c r="I9" s="7" t="s">
        <v>24</v>
      </c>
      <c r="J9" s="5" t="s">
        <v>25</v>
      </c>
      <c r="K9" s="4" t="s">
        <v>33</v>
      </c>
    </row>
    <row r="10" customFormat="false" ht="45.75" hidden="false" customHeight="true" outlineLevel="0" collapsed="false">
      <c r="A10" s="4" t="s">
        <v>34</v>
      </c>
      <c r="B10" s="5" t="s">
        <v>35</v>
      </c>
      <c r="C10" s="4" t="s">
        <v>36</v>
      </c>
      <c r="D10" s="4" t="s">
        <v>19</v>
      </c>
      <c r="E10" s="4" t="s">
        <v>37</v>
      </c>
      <c r="F10" s="4" t="s">
        <v>38</v>
      </c>
      <c r="G10" s="5" t="s">
        <v>39</v>
      </c>
      <c r="H10" s="7" t="s">
        <v>40</v>
      </c>
      <c r="I10" s="7" t="s">
        <v>24</v>
      </c>
      <c r="J10" s="5" t="s">
        <v>41</v>
      </c>
      <c r="K10" s="4"/>
    </row>
    <row r="11" customFormat="false" ht="45.75" hidden="false" customHeight="true" outlineLevel="0" collapsed="false">
      <c r="A11" s="4" t="s">
        <v>42</v>
      </c>
      <c r="B11" s="5" t="s">
        <v>43</v>
      </c>
      <c r="C11" s="4" t="s">
        <v>18</v>
      </c>
      <c r="D11" s="4" t="s">
        <v>19</v>
      </c>
      <c r="E11" s="4" t="s">
        <v>44</v>
      </c>
      <c r="F11" s="4" t="s">
        <v>45</v>
      </c>
      <c r="G11" s="5" t="s">
        <v>46</v>
      </c>
      <c r="H11" s="8" t="s">
        <v>46</v>
      </c>
      <c r="I11" s="7" t="s">
        <v>24</v>
      </c>
      <c r="J11" s="5" t="s">
        <v>47</v>
      </c>
      <c r="K11" s="4" t="s">
        <v>48</v>
      </c>
    </row>
    <row r="12" customFormat="false" ht="45.75" hidden="false" customHeight="true" outlineLevel="0" collapsed="false">
      <c r="A12" s="4" t="s">
        <v>49</v>
      </c>
      <c r="B12" s="5" t="s">
        <v>50</v>
      </c>
      <c r="C12" s="4" t="s">
        <v>18</v>
      </c>
      <c r="D12" s="4" t="s">
        <v>19</v>
      </c>
      <c r="E12" s="4" t="s">
        <v>51</v>
      </c>
      <c r="F12" s="4" t="s">
        <v>52</v>
      </c>
      <c r="G12" s="5" t="s">
        <v>53</v>
      </c>
      <c r="H12" s="9" t="s">
        <v>54</v>
      </c>
      <c r="I12" s="8" t="s">
        <v>55</v>
      </c>
      <c r="J12" s="5" t="s">
        <v>56</v>
      </c>
      <c r="K12" s="4" t="s">
        <v>57</v>
      </c>
    </row>
    <row r="13" customFormat="false" ht="45.75" hidden="false" customHeight="true" outlineLevel="0" collapsed="false">
      <c r="A13" s="4" t="s">
        <v>58</v>
      </c>
      <c r="B13" s="5" t="s">
        <v>59</v>
      </c>
      <c r="C13" s="4" t="s">
        <v>18</v>
      </c>
      <c r="D13" s="4" t="s">
        <v>19</v>
      </c>
      <c r="E13" s="4" t="s">
        <v>60</v>
      </c>
      <c r="F13" s="4" t="s">
        <v>61</v>
      </c>
      <c r="G13" s="5" t="s">
        <v>53</v>
      </c>
      <c r="H13" s="9" t="s">
        <v>54</v>
      </c>
      <c r="I13" s="8" t="s">
        <v>55</v>
      </c>
      <c r="J13" s="5" t="s">
        <v>62</v>
      </c>
      <c r="K13" s="4" t="s">
        <v>57</v>
      </c>
    </row>
    <row r="14" customFormat="false" ht="45.75" hidden="false" customHeight="true" outlineLevel="0" collapsed="false">
      <c r="A14" s="4" t="s">
        <v>63</v>
      </c>
      <c r="B14" s="5" t="s">
        <v>64</v>
      </c>
      <c r="C14" s="4" t="s">
        <v>65</v>
      </c>
      <c r="D14" s="4" t="s">
        <v>66</v>
      </c>
      <c r="E14" s="4" t="s">
        <v>67</v>
      </c>
      <c r="F14" s="4" t="s">
        <v>68</v>
      </c>
      <c r="G14" s="5" t="s">
        <v>69</v>
      </c>
      <c r="H14" s="9" t="s">
        <v>54</v>
      </c>
      <c r="I14" s="8" t="s">
        <v>55</v>
      </c>
      <c r="J14" s="5" t="s">
        <v>70</v>
      </c>
      <c r="K14" s="4" t="s">
        <v>57</v>
      </c>
    </row>
    <row r="15" customFormat="false" ht="45.75" hidden="false" customHeight="true" outlineLevel="0" collapsed="false">
      <c r="A15" s="4" t="s">
        <v>71</v>
      </c>
      <c r="B15" s="5" t="s">
        <v>72</v>
      </c>
      <c r="C15" s="4" t="s">
        <v>65</v>
      </c>
      <c r="D15" s="4" t="s">
        <v>66</v>
      </c>
      <c r="E15" s="4" t="s">
        <v>73</v>
      </c>
      <c r="F15" s="4" t="s">
        <v>74</v>
      </c>
      <c r="G15" s="5" t="s">
        <v>75</v>
      </c>
      <c r="H15" s="8" t="s">
        <v>46</v>
      </c>
      <c r="I15" s="7" t="s">
        <v>24</v>
      </c>
      <c r="J15" s="5" t="s">
        <v>76</v>
      </c>
      <c r="K15" s="4"/>
    </row>
    <row r="16" customFormat="false" ht="45.75" hidden="false" customHeight="true" outlineLevel="0" collapsed="false">
      <c r="A16" s="4" t="s">
        <v>77</v>
      </c>
      <c r="B16" s="5" t="s">
        <v>78</v>
      </c>
      <c r="C16" s="4" t="s">
        <v>18</v>
      </c>
      <c r="D16" s="4" t="s">
        <v>66</v>
      </c>
      <c r="E16" s="4" t="s">
        <v>79</v>
      </c>
      <c r="F16" s="4" t="s">
        <v>80</v>
      </c>
      <c r="G16" s="5" t="s">
        <v>81</v>
      </c>
      <c r="H16" s="9" t="s">
        <v>54</v>
      </c>
      <c r="I16" s="8" t="s">
        <v>55</v>
      </c>
      <c r="J16" s="5" t="s">
        <v>82</v>
      </c>
      <c r="K16" s="4" t="s">
        <v>57</v>
      </c>
    </row>
    <row r="17" customFormat="false" ht="45.75" hidden="false" customHeight="true" outlineLevel="0" collapsed="false">
      <c r="A17" s="4" t="s">
        <v>83</v>
      </c>
      <c r="B17" s="5" t="s">
        <v>84</v>
      </c>
      <c r="C17" s="4" t="s">
        <v>18</v>
      </c>
      <c r="D17" s="4" t="s">
        <v>66</v>
      </c>
      <c r="E17" s="4" t="s">
        <v>85</v>
      </c>
      <c r="F17" s="4" t="s">
        <v>86</v>
      </c>
      <c r="G17" s="5" t="s">
        <v>87</v>
      </c>
      <c r="H17" s="7" t="s">
        <v>40</v>
      </c>
      <c r="I17" s="7" t="s">
        <v>24</v>
      </c>
      <c r="J17" s="5" t="s">
        <v>25</v>
      </c>
      <c r="K17" s="4"/>
    </row>
    <row r="18" customFormat="false" ht="45.75" hidden="false" customHeight="true" outlineLevel="0" collapsed="false">
      <c r="A18" s="4" t="s">
        <v>88</v>
      </c>
      <c r="B18" s="5" t="s">
        <v>89</v>
      </c>
      <c r="C18" s="4" t="s">
        <v>90</v>
      </c>
      <c r="D18" s="4" t="s">
        <v>19</v>
      </c>
      <c r="E18" s="4" t="s">
        <v>91</v>
      </c>
      <c r="F18" s="4" t="s">
        <v>92</v>
      </c>
      <c r="G18" s="5" t="s">
        <v>46</v>
      </c>
      <c r="H18" s="8" t="s">
        <v>46</v>
      </c>
      <c r="I18" s="7" t="s">
        <v>24</v>
      </c>
      <c r="J18" s="5" t="s">
        <v>93</v>
      </c>
      <c r="K18" s="4" t="s">
        <v>94</v>
      </c>
    </row>
    <row r="19" customFormat="false" ht="45.75" hidden="false" customHeight="true" outlineLevel="0" collapsed="false">
      <c r="A19" s="4" t="s">
        <v>95</v>
      </c>
      <c r="B19" s="5" t="s">
        <v>96</v>
      </c>
      <c r="C19" s="4" t="s">
        <v>97</v>
      </c>
      <c r="D19" s="4" t="s">
        <v>66</v>
      </c>
      <c r="E19" s="4" t="s">
        <v>98</v>
      </c>
      <c r="F19" s="4" t="s">
        <v>99</v>
      </c>
      <c r="G19" s="5" t="s">
        <v>46</v>
      </c>
      <c r="H19" s="8" t="s">
        <v>46</v>
      </c>
      <c r="I19" s="7" t="s">
        <v>24</v>
      </c>
      <c r="J19" s="5" t="s">
        <v>100</v>
      </c>
      <c r="K19" s="4" t="s">
        <v>101</v>
      </c>
    </row>
    <row r="20" customFormat="false" ht="45.75" hidden="false" customHeight="true" outlineLevel="0" collapsed="false">
      <c r="A20" s="4" t="s">
        <v>102</v>
      </c>
      <c r="B20" s="5" t="s">
        <v>103</v>
      </c>
      <c r="C20" s="4" t="s">
        <v>65</v>
      </c>
      <c r="D20" s="4" t="s">
        <v>66</v>
      </c>
      <c r="E20" s="4" t="s">
        <v>104</v>
      </c>
      <c r="F20" s="4" t="s">
        <v>105</v>
      </c>
      <c r="G20" s="5" t="s">
        <v>46</v>
      </c>
      <c r="H20" s="8" t="s">
        <v>46</v>
      </c>
      <c r="I20" s="7" t="s">
        <v>24</v>
      </c>
      <c r="J20" s="5" t="s">
        <v>106</v>
      </c>
      <c r="K20" s="4" t="s">
        <v>101</v>
      </c>
    </row>
    <row r="21" customFormat="false" ht="45.75" hidden="false" customHeight="true" outlineLevel="0" collapsed="false">
      <c r="A21" s="4" t="s">
        <v>107</v>
      </c>
      <c r="B21" s="5" t="s">
        <v>108</v>
      </c>
      <c r="C21" s="4" t="s">
        <v>109</v>
      </c>
      <c r="D21" s="4" t="s">
        <v>110</v>
      </c>
      <c r="E21" s="4" t="s">
        <v>111</v>
      </c>
      <c r="F21" s="4" t="s">
        <v>112</v>
      </c>
      <c r="G21" s="5" t="s">
        <v>113</v>
      </c>
      <c r="H21" s="9" t="s">
        <v>54</v>
      </c>
      <c r="I21" s="9" t="s">
        <v>110</v>
      </c>
      <c r="J21" s="5" t="s">
        <v>114</v>
      </c>
      <c r="K21" s="4"/>
    </row>
  </sheetData>
  <mergeCells count="5">
    <mergeCell ref="A1:K1"/>
    <mergeCell ref="A2:K2"/>
    <mergeCell ref="A3:K3"/>
    <mergeCell ref="A4:K4"/>
    <mergeCell ref="A5: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115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116</v>
      </c>
      <c r="B2" s="2"/>
      <c r="C2" s="2"/>
      <c r="D2" s="2"/>
      <c r="E2" s="2"/>
      <c r="F2" s="2"/>
    </row>
    <row r="3" customFormat="false" ht="13.5" hidden="false" customHeight="true" outlineLevel="0" collapsed="false">
      <c r="A3" s="2" t="s">
        <v>117</v>
      </c>
      <c r="B3" s="2"/>
      <c r="C3" s="2"/>
      <c r="D3" s="2"/>
      <c r="E3" s="2"/>
      <c r="F3" s="2"/>
    </row>
    <row r="4" customFormat="false" ht="13.5" hidden="false" customHeight="true" outlineLevel="0" collapsed="false">
      <c r="A4" s="2" t="s">
        <v>118</v>
      </c>
      <c r="B4" s="2"/>
      <c r="C4" s="2"/>
      <c r="D4" s="2"/>
      <c r="E4" s="2"/>
      <c r="F4" s="2"/>
    </row>
    <row r="6" customFormat="false" ht="31.5" hidden="false" customHeight="true" outlineLevel="0" collapsed="false">
      <c r="A6" s="3" t="s">
        <v>7</v>
      </c>
      <c r="B6" s="3" t="s">
        <v>119</v>
      </c>
      <c r="C6" s="3" t="s">
        <v>120</v>
      </c>
      <c r="D6" s="3" t="s">
        <v>121</v>
      </c>
      <c r="E6" s="3" t="s">
        <v>122</v>
      </c>
      <c r="F6" s="3" t="s">
        <v>123</v>
      </c>
    </row>
    <row r="7" customFormat="false" ht="69.75" hidden="false" customHeight="true" outlineLevel="0" collapsed="false">
      <c r="A7" s="4" t="s">
        <v>18</v>
      </c>
      <c r="B7" s="5" t="s">
        <v>124</v>
      </c>
      <c r="C7" s="5" t="s">
        <v>125</v>
      </c>
      <c r="D7" s="5" t="s">
        <v>126</v>
      </c>
      <c r="E7" s="4" t="n">
        <f aca="false">COUNTIF('Traceability Matrix'!$C$8:$C$21,A7)</f>
        <v>6</v>
      </c>
      <c r="F7" s="5" t="s">
        <v>127</v>
      </c>
    </row>
    <row r="8" customFormat="false" ht="69.75" hidden="false" customHeight="true" outlineLevel="0" collapsed="false">
      <c r="A8" s="4" t="s">
        <v>29</v>
      </c>
      <c r="B8" s="5" t="s">
        <v>128</v>
      </c>
      <c r="C8" s="5" t="s">
        <v>129</v>
      </c>
      <c r="D8" s="5" t="s">
        <v>27</v>
      </c>
      <c r="E8" s="4" t="n">
        <f aca="false">COUNTIF('Traceability Matrix'!$C$8:$C$21,A8)</f>
        <v>1</v>
      </c>
      <c r="F8" s="5" t="s">
        <v>130</v>
      </c>
    </row>
    <row r="9" customFormat="false" ht="69.75" hidden="false" customHeight="true" outlineLevel="0" collapsed="false">
      <c r="A9" s="4" t="s">
        <v>36</v>
      </c>
      <c r="B9" s="5" t="s">
        <v>131</v>
      </c>
      <c r="C9" s="5" t="s">
        <v>132</v>
      </c>
      <c r="D9" s="5" t="s">
        <v>34</v>
      </c>
      <c r="E9" s="4" t="n">
        <f aca="false">COUNTIF('Traceability Matrix'!$C$8:$C$21,A9)</f>
        <v>1</v>
      </c>
      <c r="F9" s="5" t="s">
        <v>133</v>
      </c>
    </row>
    <row r="10" customFormat="false" ht="69.75" hidden="false" customHeight="true" outlineLevel="0" collapsed="false">
      <c r="A10" s="4" t="s">
        <v>90</v>
      </c>
      <c r="B10" s="5" t="s">
        <v>134</v>
      </c>
      <c r="C10" s="5" t="s">
        <v>129</v>
      </c>
      <c r="D10" s="5" t="s">
        <v>88</v>
      </c>
      <c r="E10" s="4" t="n">
        <f aca="false">COUNTIF('Traceability Matrix'!$C$8:$C$21,A10)</f>
        <v>1</v>
      </c>
      <c r="F10" s="5" t="s">
        <v>135</v>
      </c>
    </row>
    <row r="11" customFormat="false" ht="69.75" hidden="false" customHeight="true" outlineLevel="0" collapsed="false">
      <c r="A11" s="4" t="s">
        <v>97</v>
      </c>
      <c r="B11" s="5" t="s">
        <v>136</v>
      </c>
      <c r="C11" s="5" t="s">
        <v>129</v>
      </c>
      <c r="D11" s="5" t="s">
        <v>95</v>
      </c>
      <c r="E11" s="4" t="n">
        <f aca="false">COUNTIF('Traceability Matrix'!$C$8:$C$21,A11)</f>
        <v>1</v>
      </c>
      <c r="F11" s="5" t="s">
        <v>137</v>
      </c>
    </row>
    <row r="12" customFormat="false" ht="69.75" hidden="false" customHeight="true" outlineLevel="0" collapsed="false">
      <c r="A12" s="4" t="s">
        <v>65</v>
      </c>
      <c r="B12" s="5" t="s">
        <v>138</v>
      </c>
      <c r="C12" s="5" t="s">
        <v>139</v>
      </c>
      <c r="D12" s="5" t="s">
        <v>140</v>
      </c>
      <c r="E12" s="4" t="n">
        <f aca="false">COUNTIF('Traceability Matrix'!$C$8:$C$21,A12)</f>
        <v>3</v>
      </c>
      <c r="F12" s="5" t="s">
        <v>141</v>
      </c>
    </row>
  </sheetData>
  <mergeCells count="4">
    <mergeCell ref="A1:F1"/>
    <mergeCell ref="A2:F2"/>
    <mergeCell ref="A3:F3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142</v>
      </c>
      <c r="B1" s="1"/>
      <c r="C1" s="1"/>
    </row>
    <row r="2" customFormat="false" ht="13.5" hidden="false" customHeight="true" outlineLevel="0" collapsed="false">
      <c r="A2" s="2" t="s">
        <v>143</v>
      </c>
      <c r="B2" s="2"/>
      <c r="C2" s="2"/>
    </row>
    <row r="3" customFormat="false" ht="13.5" hidden="false" customHeight="true" outlineLevel="0" collapsed="false">
      <c r="A3" s="2" t="s">
        <v>144</v>
      </c>
      <c r="B3" s="2"/>
      <c r="C3" s="2"/>
    </row>
    <row r="5" customFormat="false" ht="15" hidden="false" customHeight="false" outlineLevel="0" collapsed="false">
      <c r="A5" s="10" t="s">
        <v>145</v>
      </c>
      <c r="B5" s="10" t="s">
        <v>146</v>
      </c>
      <c r="C5" s="10"/>
    </row>
    <row r="6" customFormat="false" ht="27.75" hidden="false" customHeight="true" outlineLevel="0" collapsed="false">
      <c r="A6" s="5" t="s">
        <v>147</v>
      </c>
      <c r="B6" s="11" t="n">
        <f aca="false">COUNTA('Traceability Matrix'!$A$8:$A$21)</f>
        <v>14</v>
      </c>
      <c r="C6" s="12"/>
    </row>
    <row r="7" customFormat="false" ht="27.75" hidden="false" customHeight="true" outlineLevel="0" collapsed="false">
      <c r="A7" s="5" t="s">
        <v>148</v>
      </c>
      <c r="B7" s="11" t="n">
        <f aca="false">COUNTIF('Traceability Matrix'!$D$8:$D$21,"Must")</f>
        <v>7</v>
      </c>
      <c r="C7" s="12"/>
    </row>
    <row r="8" customFormat="false" ht="27.75" hidden="false" customHeight="true" outlineLevel="0" collapsed="false">
      <c r="A8" s="5" t="s">
        <v>149</v>
      </c>
      <c r="B8" s="11" t="n">
        <f aca="false">COUNTIF('Traceability Matrix'!$D$8:$D$21,"Should")</f>
        <v>6</v>
      </c>
      <c r="C8" s="12"/>
    </row>
    <row r="9" customFormat="false" ht="27.75" hidden="false" customHeight="true" outlineLevel="0" collapsed="false">
      <c r="A9" s="5" t="s">
        <v>150</v>
      </c>
      <c r="B9" s="11" t="n">
        <f aca="false">COUNTIF('Traceability Matrix'!$D$8:$D$21,"Proposed")</f>
        <v>1</v>
      </c>
      <c r="C9" s="12"/>
    </row>
    <row r="11" customFormat="false" ht="27.75" hidden="false" customHeight="true" outlineLevel="0" collapsed="false">
      <c r="A11" s="5" t="s">
        <v>151</v>
      </c>
      <c r="B11" s="11" t="n">
        <f aca="false">COUNTIF('Traceability Matrix'!$E$8:$E$21,"&lt;&gt;")</f>
        <v>14</v>
      </c>
      <c r="C11" s="13" t="s">
        <v>152</v>
      </c>
    </row>
    <row r="12" customFormat="false" ht="27.75" hidden="false" customHeight="true" outlineLevel="0" collapsed="false">
      <c r="A12" s="5" t="s">
        <v>153</v>
      </c>
      <c r="B12" s="11" t="n">
        <f aca="false">COUNTIF('Traceability Matrix'!$F$8:$F$21,"&lt;&gt;")</f>
        <v>14</v>
      </c>
      <c r="C12" s="13" t="s">
        <v>154</v>
      </c>
    </row>
    <row r="14" customFormat="false" ht="27.75" hidden="false" customHeight="true" outlineLevel="0" collapsed="false">
      <c r="A14" s="5" t="s">
        <v>155</v>
      </c>
      <c r="B14" s="11" t="n">
        <f aca="false">COUNTIF('Traceability Matrix'!$I$8:$I$21,"Ready")</f>
        <v>9</v>
      </c>
      <c r="C14" s="12"/>
    </row>
    <row r="15" customFormat="false" ht="27.75" hidden="false" customHeight="true" outlineLevel="0" collapsed="false">
      <c r="A15" s="5" t="s">
        <v>156</v>
      </c>
      <c r="B15" s="11" t="n">
        <f aca="false">COUNTIF('Traceability Matrix'!$I$8:$I$21,"Blocked")</f>
        <v>4</v>
      </c>
      <c r="C15" s="12"/>
    </row>
    <row r="16" customFormat="false" ht="27.75" hidden="false" customHeight="true" outlineLevel="0" collapsed="false">
      <c r="A16" s="5" t="s">
        <v>157</v>
      </c>
      <c r="B16" s="11" t="n">
        <f aca="false">COUNTIF('Traceability Matrix'!$I$8:$I$21,"Proposed")</f>
        <v>1</v>
      </c>
      <c r="C16" s="12"/>
    </row>
    <row r="17" customFormat="false" ht="27.75" hidden="false" customHeight="true" outlineLevel="0" collapsed="false">
      <c r="A17" s="5" t="s">
        <v>158</v>
      </c>
      <c r="B17" s="11" t="n">
        <f aca="false">COUNTIF('Traceability Matrix'!$I$8:$I$21,"See Gap")</f>
        <v>0</v>
      </c>
      <c r="C17" s="13" t="s">
        <v>159</v>
      </c>
    </row>
    <row r="19" customFormat="false" ht="27.75" hidden="false" customHeight="true" outlineLevel="0" collapsed="false">
      <c r="A19" s="5" t="s">
        <v>160</v>
      </c>
      <c r="B19" s="11" t="n">
        <f aca="false">COUNTIF('Traceability Matrix'!$H$8:$H$21,"Full")</f>
        <v>2</v>
      </c>
      <c r="C19" s="12"/>
    </row>
    <row r="20" customFormat="false" ht="27.75" hidden="false" customHeight="true" outlineLevel="0" collapsed="false">
      <c r="A20" s="5" t="s">
        <v>161</v>
      </c>
      <c r="B20" s="11" t="n">
        <f aca="false">COUNTIF('Traceability Matrix'!$H$8:$H$21,"Partial")</f>
        <v>2</v>
      </c>
      <c r="C20" s="12"/>
    </row>
    <row r="21" customFormat="false" ht="27.75" hidden="false" customHeight="true" outlineLevel="0" collapsed="false">
      <c r="A21" s="5" t="s">
        <v>162</v>
      </c>
      <c r="B21" s="11" t="n">
        <f aca="false">COUNTIF('Traceability Matrix'!$H$8:$H$21,"None")</f>
        <v>5</v>
      </c>
      <c r="C21" s="13" t="s">
        <v>163</v>
      </c>
    </row>
    <row r="22" customFormat="false" ht="27.75" hidden="false" customHeight="true" outlineLevel="0" collapsed="false">
      <c r="A22" s="5" t="s">
        <v>164</v>
      </c>
      <c r="B22" s="11" t="n">
        <f aca="false">COUNTIF('Traceability Matrix'!$H$8:$H$21,"N/A by design")</f>
        <v>5</v>
      </c>
      <c r="C22" s="13" t="s">
        <v>165</v>
      </c>
    </row>
    <row r="24" customFormat="false" ht="27.75" hidden="false" customHeight="true" outlineLevel="0" collapsed="false">
      <c r="A24" s="5" t="s">
        <v>166</v>
      </c>
      <c r="B24" s="11" t="n">
        <f aca="false">COUNTIFS('Traceability Matrix'!$D$8:$D$21,"Must",'Traceability Matrix'!$H$8:$H$21,"Full")+COUNTIFS('Traceability Matrix'!$D$8:$D$21,"Must",'Traceability Matrix'!$H$8:$H$21,"Partial")</f>
        <v>3</v>
      </c>
      <c r="C24" s="13" t="s">
        <v>167</v>
      </c>
    </row>
    <row r="25" customFormat="false" ht="27.75" hidden="false" customHeight="true" outlineLevel="0" collapsed="false">
      <c r="A25" s="5" t="s">
        <v>168</v>
      </c>
      <c r="B25" s="11" t="n">
        <f aca="false">COUNTIF('Traceability Matrix'!$D$8:$D$21,"Must")</f>
        <v>7</v>
      </c>
      <c r="C25" s="12"/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5" min="4" style="0" width="46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169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170</v>
      </c>
      <c r="B2" s="2"/>
      <c r="C2" s="2"/>
      <c r="D2" s="2"/>
      <c r="E2" s="2"/>
      <c r="F2" s="2"/>
    </row>
    <row r="3" customFormat="false" ht="13.5" hidden="false" customHeight="true" outlineLevel="0" collapsed="false">
      <c r="A3" s="2" t="s">
        <v>171</v>
      </c>
      <c r="B3" s="2"/>
      <c r="C3" s="2"/>
      <c r="D3" s="2"/>
      <c r="E3" s="2"/>
      <c r="F3" s="2"/>
    </row>
    <row r="5" customFormat="false" ht="31.5" hidden="false" customHeight="true" outlineLevel="0" collapsed="false">
      <c r="A5" s="3" t="s">
        <v>172</v>
      </c>
      <c r="B5" s="3" t="s">
        <v>173</v>
      </c>
      <c r="C5" s="3" t="s">
        <v>174</v>
      </c>
      <c r="D5" s="3" t="s">
        <v>175</v>
      </c>
      <c r="E5" s="3" t="s">
        <v>176</v>
      </c>
      <c r="F5" s="3" t="s">
        <v>177</v>
      </c>
    </row>
    <row r="6" customFormat="false" ht="99.75" hidden="false" customHeight="true" outlineLevel="0" collapsed="false">
      <c r="A6" s="4" t="s">
        <v>26</v>
      </c>
      <c r="B6" s="6" t="s">
        <v>178</v>
      </c>
      <c r="C6" s="5" t="s">
        <v>179</v>
      </c>
      <c r="D6" s="5" t="s">
        <v>180</v>
      </c>
      <c r="E6" s="5" t="s">
        <v>181</v>
      </c>
      <c r="F6" s="5" t="s">
        <v>182</v>
      </c>
    </row>
    <row r="7" customFormat="false" ht="99.75" hidden="false" customHeight="true" outlineLevel="0" collapsed="false">
      <c r="A7" s="4" t="s">
        <v>33</v>
      </c>
      <c r="B7" s="6" t="s">
        <v>178</v>
      </c>
      <c r="C7" s="5" t="s">
        <v>183</v>
      </c>
      <c r="D7" s="5" t="s">
        <v>184</v>
      </c>
      <c r="E7" s="5" t="s">
        <v>185</v>
      </c>
      <c r="F7" s="5" t="s">
        <v>186</v>
      </c>
    </row>
    <row r="8" customFormat="false" ht="99.75" hidden="false" customHeight="true" outlineLevel="0" collapsed="false">
      <c r="A8" s="4" t="s">
        <v>48</v>
      </c>
      <c r="B8" s="8" t="s">
        <v>187</v>
      </c>
      <c r="C8" s="5" t="s">
        <v>188</v>
      </c>
      <c r="D8" s="5" t="s">
        <v>189</v>
      </c>
      <c r="E8" s="5" t="s">
        <v>190</v>
      </c>
      <c r="F8" s="5" t="s">
        <v>191</v>
      </c>
    </row>
    <row r="9" customFormat="false" ht="99.75" hidden="false" customHeight="true" outlineLevel="0" collapsed="false">
      <c r="A9" s="4" t="s">
        <v>94</v>
      </c>
      <c r="B9" s="8" t="s">
        <v>187</v>
      </c>
      <c r="C9" s="5" t="s">
        <v>192</v>
      </c>
      <c r="D9" s="5" t="s">
        <v>193</v>
      </c>
      <c r="E9" s="5" t="s">
        <v>194</v>
      </c>
      <c r="F9" s="5" t="s">
        <v>195</v>
      </c>
    </row>
    <row r="10" customFormat="false" ht="99.75" hidden="false" customHeight="true" outlineLevel="0" collapsed="false">
      <c r="A10" s="4" t="s">
        <v>196</v>
      </c>
      <c r="B10" s="8" t="s">
        <v>187</v>
      </c>
      <c r="C10" s="5" t="s">
        <v>197</v>
      </c>
      <c r="D10" s="5" t="s">
        <v>198</v>
      </c>
      <c r="E10" s="5" t="s">
        <v>199</v>
      </c>
      <c r="F10" s="5" t="s">
        <v>200</v>
      </c>
    </row>
    <row r="11" customFormat="false" ht="99.75" hidden="false" customHeight="true" outlineLevel="0" collapsed="false">
      <c r="A11" s="4" t="s">
        <v>57</v>
      </c>
      <c r="B11" s="6" t="s">
        <v>178</v>
      </c>
      <c r="C11" s="5" t="s">
        <v>201</v>
      </c>
      <c r="D11" s="5" t="s">
        <v>202</v>
      </c>
      <c r="E11" s="5" t="s">
        <v>203</v>
      </c>
      <c r="F11" s="5" t="s">
        <v>204</v>
      </c>
    </row>
    <row r="12" customFormat="false" ht="99.75" hidden="false" customHeight="true" outlineLevel="0" collapsed="false">
      <c r="A12" s="4" t="s">
        <v>205</v>
      </c>
      <c r="B12" s="6" t="s">
        <v>178</v>
      </c>
      <c r="C12" s="5" t="s">
        <v>206</v>
      </c>
      <c r="D12" s="5" t="s">
        <v>207</v>
      </c>
      <c r="E12" s="5" t="s">
        <v>208</v>
      </c>
      <c r="F12" s="5" t="s">
        <v>204</v>
      </c>
    </row>
    <row r="13" customFormat="false" ht="99.75" hidden="false" customHeight="true" outlineLevel="0" collapsed="false">
      <c r="A13" s="4" t="s">
        <v>209</v>
      </c>
      <c r="B13" s="6" t="s">
        <v>178</v>
      </c>
      <c r="C13" s="5" t="s">
        <v>210</v>
      </c>
      <c r="D13" s="5" t="s">
        <v>211</v>
      </c>
      <c r="E13" s="5" t="s">
        <v>212</v>
      </c>
      <c r="F13" s="5" t="s">
        <v>213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214</v>
      </c>
      <c r="B1" s="1"/>
    </row>
    <row r="2" customFormat="false" ht="13.5" hidden="false" customHeight="true" outlineLevel="0" collapsed="false">
      <c r="A2" s="2" t="s">
        <v>215</v>
      </c>
      <c r="B2" s="2"/>
    </row>
    <row r="4" customFormat="false" ht="15" hidden="false" customHeight="false" outlineLevel="0" collapsed="false">
      <c r="A4" s="14" t="s">
        <v>216</v>
      </c>
      <c r="B4" s="14"/>
    </row>
    <row r="5" customFormat="false" ht="42" hidden="false" customHeight="true" outlineLevel="0" collapsed="false">
      <c r="A5" s="15" t="s">
        <v>217</v>
      </c>
      <c r="B5" s="16" t="s">
        <v>218</v>
      </c>
    </row>
    <row r="6" customFormat="false" ht="15" hidden="false" customHeight="false" outlineLevel="0" collapsed="false">
      <c r="A6" s="14" t="s">
        <v>219</v>
      </c>
      <c r="B6" s="14"/>
    </row>
    <row r="7" customFormat="false" ht="42" hidden="false" customHeight="true" outlineLevel="0" collapsed="false">
      <c r="A7" s="15" t="s">
        <v>40</v>
      </c>
      <c r="B7" s="16" t="s">
        <v>220</v>
      </c>
    </row>
    <row r="8" customFormat="false" ht="42" hidden="false" customHeight="true" outlineLevel="0" collapsed="false">
      <c r="A8" s="15" t="s">
        <v>23</v>
      </c>
      <c r="B8" s="16" t="s">
        <v>221</v>
      </c>
    </row>
    <row r="9" customFormat="false" ht="42" hidden="false" customHeight="true" outlineLevel="0" collapsed="false">
      <c r="A9" s="15" t="s">
        <v>46</v>
      </c>
      <c r="B9" s="16" t="s">
        <v>222</v>
      </c>
    </row>
    <row r="10" customFormat="false" ht="42" hidden="false" customHeight="true" outlineLevel="0" collapsed="false">
      <c r="A10" s="15" t="s">
        <v>54</v>
      </c>
      <c r="B10" s="16" t="s">
        <v>223</v>
      </c>
    </row>
    <row r="11" customFormat="false" ht="15" hidden="false" customHeight="false" outlineLevel="0" collapsed="false">
      <c r="A11" s="14" t="s">
        <v>224</v>
      </c>
      <c r="B11" s="14"/>
    </row>
    <row r="12" customFormat="false" ht="42" hidden="false" customHeight="true" outlineLevel="0" collapsed="false">
      <c r="A12" s="15" t="s">
        <v>24</v>
      </c>
      <c r="B12" s="16" t="s">
        <v>225</v>
      </c>
    </row>
    <row r="13" customFormat="false" ht="42" hidden="false" customHeight="true" outlineLevel="0" collapsed="false">
      <c r="A13" s="15" t="s">
        <v>55</v>
      </c>
      <c r="B13" s="16" t="s">
        <v>226</v>
      </c>
    </row>
    <row r="14" customFormat="false" ht="42" hidden="false" customHeight="true" outlineLevel="0" collapsed="false">
      <c r="A14" s="15" t="s">
        <v>110</v>
      </c>
      <c r="B14" s="16" t="s">
        <v>227</v>
      </c>
    </row>
    <row r="15" customFormat="false" ht="42" hidden="false" customHeight="true" outlineLevel="0" collapsed="false">
      <c r="A15" s="15" t="s">
        <v>228</v>
      </c>
      <c r="B15" s="16" t="s">
        <v>229</v>
      </c>
    </row>
    <row r="16" customFormat="false" ht="15" hidden="false" customHeight="false" outlineLevel="0" collapsed="false">
      <c r="A16" s="14" t="s">
        <v>230</v>
      </c>
      <c r="B16" s="14"/>
    </row>
    <row r="17" customFormat="false" ht="42" hidden="false" customHeight="true" outlineLevel="0" collapsed="false">
      <c r="A17" s="15" t="s">
        <v>231</v>
      </c>
      <c r="B17" s="16" t="s">
        <v>232</v>
      </c>
    </row>
    <row r="18" customFormat="false" ht="42" hidden="false" customHeight="true" outlineLevel="0" collapsed="false">
      <c r="A18" s="15" t="s">
        <v>233</v>
      </c>
      <c r="B18" s="16" t="s">
        <v>234</v>
      </c>
    </row>
    <row r="19" customFormat="false" ht="15" hidden="false" customHeight="false" outlineLevel="0" collapsed="false">
      <c r="A19" s="14" t="s">
        <v>235</v>
      </c>
      <c r="B19" s="14"/>
    </row>
    <row r="20" customFormat="false" ht="42" hidden="false" customHeight="true" outlineLevel="0" collapsed="false">
      <c r="A20" s="15" t="s">
        <v>236</v>
      </c>
      <c r="B20" s="16" t="s">
        <v>237</v>
      </c>
    </row>
    <row r="21" customFormat="false" ht="42" hidden="false" customHeight="true" outlineLevel="0" collapsed="false">
      <c r="A21" s="15" t="s">
        <v>238</v>
      </c>
      <c r="B21" s="16" t="s">
        <v>239</v>
      </c>
    </row>
    <row r="22" customFormat="false" ht="42" hidden="false" customHeight="true" outlineLevel="0" collapsed="false">
      <c r="A22" s="15" t="s">
        <v>240</v>
      </c>
      <c r="B22" s="16" t="s">
        <v>241</v>
      </c>
    </row>
    <row r="23" customFormat="false" ht="42" hidden="false" customHeight="true" outlineLevel="0" collapsed="false">
      <c r="A23" s="15" t="s">
        <v>242</v>
      </c>
      <c r="B23" s="16" t="s">
        <v>243</v>
      </c>
    </row>
    <row r="24" customFormat="false" ht="42" hidden="false" customHeight="true" outlineLevel="0" collapsed="false">
      <c r="A24" s="15" t="s">
        <v>244</v>
      </c>
      <c r="B24" s="16" t="s">
        <v>245</v>
      </c>
    </row>
  </sheetData>
  <mergeCells count="7">
    <mergeCell ref="A1:B1"/>
    <mergeCell ref="A2:B2"/>
    <mergeCell ref="A4:B4"/>
    <mergeCell ref="A6:B6"/>
    <mergeCell ref="A11:B11"/>
    <mergeCell ref="A16:B16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2026-10-01T07:15:45Z</dcterms:created>
  <dc:creator>openpyxl</dc:creator>
  <dc:description/>
  <dc:language>en-US</dc:language>
  <cp:lastModifiedBy/>
  <dcterms:modified xsi:type="dcterms:W3CDTF">2026-10-01T07:15:45Z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