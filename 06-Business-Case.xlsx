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 &amp; Sources" sheetId="2" state="visible" r:id="rId4"/>
    <sheet name="Current-State Cost" sheetId="3" state="visible" r:id="rId5"/>
    <sheet name="Projected Savings" sheetId="4" state="visible" r:id="rId6"/>
    <sheet name="Limit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<sst xmlns="http://schemas.openxmlformats.org/spreadsheetml/2006/main" count="133" uniqueCount="111">
  <si>
    <t xml:space="preserve">Mining Fleet Reliability — Cost-of-Downtime Business Case</t>
  </si>
  <si>
    <t xml:space="preserve">Portfolio project — synthetic/adapted dataset (AI4I 2020 re-skinned onto a 48-asset mining fleet). Downtime-cost benchmarks are real, cited, general-industrial sources (not mining-specific) — see 'Assumptions &amp; Sources'.</t>
  </si>
  <si>
    <t xml:space="preserve">Prepared by:</t>
  </si>
  <si>
    <t xml:space="preserve">Gagana Suresh</t>
  </si>
  <si>
    <t xml:space="preserve">Date:</t>
  </si>
  <si>
    <t xml:space="preserve">28 September 2026</t>
  </si>
  <si>
    <t xml:space="preserve">1. Current-State Annual Loss — Mobile Fleet Only</t>
  </si>
  <si>
    <t xml:space="preserve">Coverage caveat: only the Mobile fleet (83 of 339 real failures, 24.5%) carries a sourced repair-time figure. Fixed plant (21 failures) and Ancillary (235 failures) — 75.5% of all failures — are reported by frequency only; they are NOT zero-cost, they are undisclosed cost. See 'Limitations'.</t>
  </si>
  <si>
    <t xml:space="preserve">Metric</t>
  </si>
  <si>
    <t xml:space="preserve">Low scenario (UK/Ireland survey)</t>
  </si>
  <si>
    <t xml:space="preserve">High scenario (US survey)</t>
  </si>
  <si>
    <t xml:space="preserve">Mobile-fleet hours lost (annualized est.)</t>
  </si>
  <si>
    <t xml:space="preserve">Mobile-fleet dollar loss</t>
  </si>
  <si>
    <t xml:space="preserve">2. Projected Annual Savings — To-Be Process (Mobile Fleet)</t>
  </si>
  <si>
    <t xml:space="preserve">Driver: FR-01 asset-level rollup + repeat-failure escalation sign-off gate (Process Maps, Option B, locked 3 Sept 2026). The reduction % below is an ILLUSTRATIVE sensitivity range, not a cited benchmark — no defensible public source was found for this specific intervention type after a search (only vendor-blog-level sources turned up, which this project's sourcing standard already rejects as inadequate — see Scope-Decisions-and-Limitations-Log precedent). Must be calibrated with the Reliability Engineer before use as a committed savings target (Project Charter §4, O3 governance rule).</t>
  </si>
  <si>
    <t xml:space="preserve">Reduction scenario</t>
  </si>
  <si>
    <t xml:space="preserve">Hours avoided/yr</t>
  </si>
  <si>
    <t xml:space="preserve">Savings — Low rate</t>
  </si>
  <si>
    <t xml:space="preserve">Savings — High rate</t>
  </si>
  <si>
    <t xml:space="preserve">3. Read This With</t>
  </si>
  <si>
    <t xml:space="preserve">→ 'Assumptions &amp; Sources' for every figure's tag (dataset / cited source / assumption) and citation.</t>
  </si>
  <si>
    <t xml:space="preserve">→ 'Limitations' before this workbook is quoted anywhere — the coverage and rate caveats are load-bearing, not boilerplate.</t>
  </si>
  <si>
    <t xml:space="preserve">Assumptions &amp; Sources</t>
  </si>
  <si>
    <t xml:space="preserve">Every figure used anywhere in this workbook traces to exactly one of: DATASET, CITED SOURCE, or ASSUMPTION. Yellow rows are the load-bearing judgment calls.</t>
  </si>
  <si>
    <t xml:space="preserve">#</t>
  </si>
  <si>
    <t xml:space="preserve">Assumption / figure</t>
  </si>
  <si>
    <t xml:space="preserve">Value</t>
  </si>
  <si>
    <t xml:space="preserve">Tag</t>
  </si>
  <si>
    <t xml:space="preserve">Source / citation</t>
  </si>
  <si>
    <t xml:space="preserve">Notes</t>
  </si>
  <si>
    <t xml:space="preserve">Mobile-fleet real failures</t>
  </si>
  <si>
    <t xml:space="preserve">DATASET</t>
  </si>
  <si>
    <t xml:space="preserve">mining_reliability.db, v_failure_rate_by_tier (AI4I 2020 re-skinned)</t>
  </si>
  <si>
    <t xml:space="preserve">Medium tier, 14 assets.</t>
  </si>
  <si>
    <t xml:space="preserve">Fixed-plant real failures</t>
  </si>
  <si>
    <t xml:space="preserve">mining_reliability.db, v_failure_rate_by_tier</t>
  </si>
  <si>
    <t xml:space="preserve">High tier, 5 assets.</t>
  </si>
  <si>
    <t xml:space="preserve">Ancillary real failures</t>
  </si>
  <si>
    <t xml:space="preserve">Low tier, 29 assets.</t>
  </si>
  <si>
    <t xml:space="preserve">Total real failures</t>
  </si>
  <si>
    <t xml:space="preserve">Sum of the three tiers above</t>
  </si>
  <si>
    <t xml:space="preserve">339 = source-of-truth Machine-failure=1 count; 18 RNF-only rows excluded (Data Dictionary §2, Finding 2).</t>
  </si>
  <si>
    <t xml:space="preserve">Mobile-fleet repair time / event (hrs)</t>
  </si>
  <si>
    <t xml:space="preserve">CITED SOURCE</t>
  </si>
  <si>
    <t xml:space="preserve">Rezaei Dashtaki, Jandaghi Jafari &amp; Hoseinie (2025), Scientific Reports 15, doi.org/10.1038/s41598-025-88505-3 (rope-shovel class, Sarcheshmeh Copper Mine); cross-checked against Jakkula, Mandela &amp; Tripathi (2025), J. Eng. Mgmt &amp; Sys. Eng. 4(4):257-268, doi.org/10.56578/jemse040403 (LHD class).</t>
  </si>
  <si>
    <t xml:space="preserve">Central/typical-case estimate, NOT a ceiling — sources document individual repairs up to 45 hrs.</t>
  </si>
  <si>
    <t xml:space="preserve">Fixed-plant / Ancillary repair time</t>
  </si>
  <si>
    <t xml:space="preserve">Not available</t>
  </si>
  <si>
    <t xml:space="preserve">ASSUMPTION — disclosed gap</t>
  </si>
  <si>
    <t xml:space="preserve">Scope-Decisions-and-Limitations-Log.md, 25 Aug – 8 Sept 2026 (Option B / Option C)</t>
  </si>
  <si>
    <t xml:space="preserve">No defensible public source after two sourcing passes + an independent verification pass. Reported by frequency only — a disclosed scope boundary, not an unexplained blank.</t>
  </si>
  <si>
    <t xml:space="preserve">Downtime cost/hr — LOW scenario (GBP/hr)</t>
  </si>
  <si>
    <t xml:space="preserve">RS/IMechE 2023 UK &amp; Ireland maintenance survey, n=683 respondents</t>
  </si>
  <si>
    <t xml:space="preserve">General industrial, NOT mining-specific — genuine gap in publicly available mining-specific data.</t>
  </si>
  <si>
    <t xml:space="preserve">GBP→AUD conversion rate</t>
  </si>
  <si>
    <t xml:space="preserve">XE.com mid-market rate, retrieved 28 Sept 2026</t>
  </si>
  <si>
    <t xml:space="preserve">Spot rate at time of writing, not the survey's original 2023 period rate — a minor further source of imprecision, see Limitations.</t>
  </si>
  <si>
    <t xml:space="preserve">Downtime cost/hr — LOW scenario (AUD)</t>
  </si>
  <si>
    <t xml:space="preserve">ASSUMPTION — derived</t>
  </si>
  <si>
    <t xml:space="preserve">Row 7 value x Row 8 rate</t>
  </si>
  <si>
    <t xml:space="preserve">Formula cell — recalculates if either input changes.</t>
  </si>
  <si>
    <t xml:space="preserve">Downtime cost/hr — HIGH scenario (USD/hr)</t>
  </si>
  <si>
    <t xml:space="preserve">MaintainX 2024 State of Industrial Maintenance survey, n=1,165 respondents</t>
  </si>
  <si>
    <t xml:space="preserve">General industrial, NOT mining-specific — same caveat as Row 7.</t>
  </si>
  <si>
    <t xml:space="preserve">USD→AUD conversion rate</t>
  </si>
  <si>
    <t xml:space="preserve">Spot rate at time of writing, not the survey's original 2024 period rate.</t>
  </si>
  <si>
    <t xml:space="preserve">Downtime cost/hr — HIGH scenario (AUD)</t>
  </si>
  <si>
    <t xml:space="preserve">Row 10 value x Row 11 rate</t>
  </si>
  <si>
    <t xml:space="preserve">Formula cell.</t>
  </si>
  <si>
    <t xml:space="preserve">Repair cost (labor + parts)</t>
  </si>
  <si>
    <t xml:space="preserve">Excluded — all tiers</t>
  </si>
  <si>
    <t xml:space="preserve">ASSUMPTION — scope decision</t>
  </si>
  <si>
    <t xml:space="preserve">Scope-Decisions-and-Limitations-Log.md, 25 Aug 2026; Data Dictionary §3.3</t>
  </si>
  <si>
    <t xml:space="preserve">Not found anywhere publicly verifiable (SMRP, OREDA, Deloitte, IMechE, MaintainX, academic sources, OEM handbooks all searched). A real ERP/CMMS would hold this — unquantified upside, not zero cost.</t>
  </si>
  <si>
    <t xml:space="preserve">To-be downtime reduction, Mobile fleet</t>
  </si>
  <si>
    <t xml:space="preserve">5% / 10% / 15% (sensitivity)</t>
  </si>
  <si>
    <t xml:space="preserve">ASSUMPTION — illustrative</t>
  </si>
  <si>
    <t xml:space="preserve">No defensible external benchmark found for this specific intervention</t>
  </si>
  <si>
    <t xml:space="preserve">Requires Reliability Engineer + Finance calibration before use as a committed target (Project Charter §4, O3).</t>
  </si>
  <si>
    <t xml:space="preserve">Current-State Cost of Downtime, by Asset Tier</t>
  </si>
  <si>
    <t xml:space="preserve">Tier</t>
  </si>
  <si>
    <t xml:space="preserve">Real Failures
[DATASET]</t>
  </si>
  <si>
    <t xml:space="preserve">Repair Time/
Event (hrs)</t>
  </si>
  <si>
    <t xml:space="preserve">Total Hours
Lost</t>
  </si>
  <si>
    <t xml:space="preserve">$ Loss —
Low rate</t>
  </si>
  <si>
    <t xml:space="preserve">$ Loss —
High rate</t>
  </si>
  <si>
    <t xml:space="preserve">Disclosed Reason (Fixed plant / Ancillary)</t>
  </si>
  <si>
    <t xml:space="preserve">Mobile fleet (Medium)</t>
  </si>
  <si>
    <t xml:space="preserve">Central/typical-case estimate (2.2 hrs), not a ceiling — see Assumptions row 5.</t>
  </si>
  <si>
    <t xml:space="preserve">Fixed plant (High)</t>
  </si>
  <si>
    <t xml:space="preserve">n/a</t>
  </si>
  <si>
    <t xml:space="preserve">No defensible repair-time source exists for this equipment class after two sourcing passes + an independent verification pass (Scope Log, 1 Sept 2026, Option B). The industry doesn't publicly track repair time for the mining equipment that matters most — itself a finding, not a hole in this analysis.</t>
  </si>
  <si>
    <t xml:space="preserve">Ancillary (Low)</t>
  </si>
  <si>
    <t xml:space="preserve">The only proxy source found (pumps/valves/motors) covers roughly 3 of this tier's ~8 equipment types; applying it fleet-wide would overreach the source (Scope Log, 8 Sept 2026, Option C). Reported by frequency only.</t>
  </si>
  <si>
    <t xml:space="preserve">Total</t>
  </si>
  <si>
    <t xml:space="preserve">Fixed plant + Ancillary rows do not sum in — see coverage note below.</t>
  </si>
  <si>
    <t xml:space="preserve">Coverage — % of total failures that are dollar-quantified</t>
  </si>
  <si>
    <t xml:space="preserve">Fixed plant (21) and Ancillary (235) failures — 75.5% of the fleet's 339 real failures — carry NO dollar figure. This is a disclosed scope boundary (no defensible repair-time source exists for either tier), not a claim that those failures cost nothing.</t>
  </si>
  <si>
    <t xml:space="preserve">Projected Annual Savings — To-Be Process (Mobile Fleet Only)</t>
  </si>
  <si>
    <t xml:space="preserve">Baseline: 'Current-State Cost'!D5 (Mobile-fleet hours lost/yr). Reduction % scenarios below are an ILLUSTRATIVE sensitivity range — not a cited benchmark. See 'Assumptions &amp; Sources' row 14 and 'Limitations'.</t>
  </si>
  <si>
    <t xml:space="preserve">Illustrative scenario — pending Reliability Engineer sign-off.</t>
  </si>
  <si>
    <t xml:space="preserve">Driver: FR-01 asset-level cumulative rollup (BRD §8.1) + the repeat-failure escalation sign-off gate (Process Maps, Option B, locked 3 Sept 2026) — earlier visibility into repeat patch-repairs is assumed to prevent a portion of Mobile-fleet downtime hours from recurring. No external benchmark exists for this specific intervention at the rigor this project's sourcing standard requires (searched; only vendor-blog-level sources found, rejected per precedent — see Scope-Decisions-and-Limitations-Log). Treat 10% as the working-planning midpoint only until the Reliability Engineer confirms a real figure against site experience.</t>
  </si>
  <si>
    <t xml:space="preserve">Limitations &amp; Disclosures</t>
  </si>
  <si>
    <t xml:space="preserve">Read before this workbook's numbers are quoted anywhere (README, video, LinkedIn article, interview).</t>
  </si>
  <si>
    <t xml:space="preserve">Repair cost excluded — This analysis does not include potential reductions in maintenance labour and parts cost, which represents additional unquantified upside; a real engagement would source this directly from the client's ERP/CMMS cost data, which this project's synthetic dataset has no equivalent for. (Financial Controller interview, 3 Sept 2026 — language reused verbatim per her recommendation.)</t>
  </si>
  <si>
    <t xml:space="preserve">75.5% of failures are dollar-unquantified — Fixed plant (21 failures) and Ancillary (235 failures) carry no repair-time source and therefore no dollar figure — only the Mobile fleet's 83 failures (24.5% of the fleet's 339) are costed. This is a disclosed scope boundary, not a claim those failures are free. Fixed plant is the fleet's highest-criticality tier — the industry not publicly tracking its repair time is itself a finding worth surfacing to leadership, not a hole in this analysis.</t>
  </si>
  <si>
    <t xml:space="preserve">Neither downtime-cost rate is mining-specific — Both the UK/Ireland (£5,000/hr) and US (US$25,000/hr) survey benchmarks are general-industrial. No mining-specific, publicly verifiable downtime-cost-per-hour figure was found after a full sourcing pass. The ~3.8x spread between the two scenarios reflects genuine cross-industry rate variance, not calculation error — this is why both are carried through as a range rather than collapsed into one number.</t>
  </si>
  <si>
    <t xml:space="preserve">Mobile-fleet hours estimate is central, not a ceiling — 182.6 hours/year uses a 2.2 hr/event typical-case average. The same cited sources document individual repairs running as long as 45 hours — a handful of unusually bad repairs could push the real total well above this figure. Report as 'approximately 183 hours, typical case,' never as a single precise ceiling.</t>
  </si>
  <si>
    <t xml:space="preserve">Projected savings % is illustrative, not benchmarked — The 5/10/15% reduction scenarios in 'Projected Savings' were not derived from any external, verifiable source — a search for one returned only vendor-blog-level material, which this project's own sourcing standard already treats as inadequate (see the repair-cost and Fixed-plant sourcing precedent). These numbers must be calibrated against real site experience by the Reliability Engineer, and signed off by Finance, before being used as a committed savings target — per the materiality-threshold-agreed-in-advance rule already governing O3 (Project Charter §4).</t>
  </si>
  <si>
    <t xml:space="preserve">Currency conversion uses spot rates, not survey-period rates — GBP/AUD and USD/AUD conversions were performed 28 Sept 2026 at then-current spot rates (XE.com), not the rates in effect when the 2023/2024 surveys were fielded. This adds a further, smaller layer of imprecision on top of the underlying cross-industry rate uncertainty already disclosed above.</t>
  </si>
  <si>
    <t xml:space="preserve">Synthetic dataset — The operational dataset (AI4I 2020, UCI ML Repository) is a real, published industrial dataset, re-skinned onto a synthetic 48-asset mining fleet (5 Fixed plant / 14 Mobile fleet / 29 Ancillary). Failure counts and sensor-derived findings are real dataset values; asset identities, site, and company are synthetic. See 05-Data-Dictionary.md and the data-lineage note for full detail.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</si>
</sst>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\$#,##0;&quot;($&quot;#,##0\);\-"/>
    <numFmt numFmtId="167" formatCode="0.0%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0"/>
    <col collapsed="false" customWidth="true" hidden="false" outlineLevel="0" max="5" min="5" style="0" width="5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7" customFormat="false" ht="15" hidden="false" customHeight="false" outlineLevel="0" collapsed="false">
      <c r="A7" s="5" t="s">
        <v>6</v>
      </c>
      <c r="B7" s="5"/>
      <c r="C7" s="5"/>
      <c r="D7" s="5"/>
      <c r="E7" s="5"/>
    </row>
    <row r="8" customFormat="false" ht="39.75" hidden="false" customHeight="true" outlineLevel="0" collapsed="false">
      <c r="A8" s="6" t="s">
        <v>7</v>
      </c>
      <c r="B8" s="6"/>
      <c r="C8" s="6"/>
      <c r="D8" s="6"/>
      <c r="E8" s="6"/>
    </row>
    <row r="9" customFormat="false" ht="15" hidden="false" customHeight="false" outlineLevel="0" collapsed="false">
      <c r="A9" s="6"/>
      <c r="B9" s="6"/>
      <c r="C9" s="6"/>
      <c r="D9" s="6"/>
      <c r="E9" s="6"/>
    </row>
    <row r="10" customFormat="false" ht="26.85" hidden="false" customHeight="false" outlineLevel="0" collapsed="false">
      <c r="A10" s="7" t="s">
        <v>8</v>
      </c>
      <c r="B10" s="7" t="s">
        <v>9</v>
      </c>
      <c r="C10" s="7" t="s">
        <v>10</v>
      </c>
    </row>
    <row r="11" customFormat="false" ht="15" hidden="false" customHeight="false" outlineLevel="0" collapsed="false">
      <c r="A11" s="4" t="s">
        <v>11</v>
      </c>
      <c r="B11" s="8" t="n">
        <f aca="false">'Current-State Cost'!D5</f>
        <v>182.6</v>
      </c>
      <c r="C11" s="8" t="n">
        <f aca="false">'Current-State Cost'!D5</f>
        <v>182.6</v>
      </c>
    </row>
    <row r="12" customFormat="false" ht="15" hidden="false" customHeight="false" outlineLevel="0" collapsed="false">
      <c r="A12" s="4" t="s">
        <v>12</v>
      </c>
      <c r="B12" s="9" t="n">
        <f aca="false">'Current-State Cost'!E5</f>
        <v>1720639.8</v>
      </c>
      <c r="C12" s="9" t="n">
        <f aca="false">'Current-State Cost'!F5</f>
        <v>6500103.5</v>
      </c>
    </row>
    <row r="14" customFormat="false" ht="15" hidden="false" customHeight="false" outlineLevel="0" collapsed="false">
      <c r="A14" s="5" t="s">
        <v>13</v>
      </c>
      <c r="B14" s="5"/>
      <c r="C14" s="5"/>
      <c r="D14" s="5"/>
      <c r="E14" s="5"/>
    </row>
    <row r="15" customFormat="false" ht="60" hidden="false" customHeight="true" outlineLevel="0" collapsed="false">
      <c r="A15" s="6" t="s">
        <v>14</v>
      </c>
      <c r="B15" s="6"/>
      <c r="C15" s="6"/>
      <c r="D15" s="6"/>
      <c r="E15" s="6"/>
    </row>
    <row r="16" customFormat="false" ht="15" hidden="false" customHeight="false" outlineLevel="0" collapsed="false">
      <c r="A16" s="6"/>
      <c r="B16" s="6"/>
      <c r="C16" s="6"/>
      <c r="D16" s="6"/>
      <c r="E16" s="6"/>
    </row>
    <row r="17" customFormat="false" ht="15" hidden="false" customHeight="false" outlineLevel="0" collapsed="false">
      <c r="A17" s="6"/>
      <c r="B17" s="6"/>
      <c r="C17" s="6"/>
      <c r="D17" s="6"/>
      <c r="E17" s="6"/>
    </row>
    <row r="18" customFormat="false" ht="26.85" hidden="false" customHeight="false" outlineLevel="0" collapsed="false">
      <c r="A18" s="7" t="s">
        <v>15</v>
      </c>
      <c r="B18" s="7" t="s">
        <v>16</v>
      </c>
      <c r="C18" s="7" t="s">
        <v>17</v>
      </c>
      <c r="D18" s="7" t="s">
        <v>18</v>
      </c>
    </row>
    <row r="19" customFormat="false" ht="15" hidden="false" customHeight="false" outlineLevel="0" collapsed="false">
      <c r="A19" s="10" t="n">
        <f aca="false">'Projected Savings'!A5</f>
        <v>0.05</v>
      </c>
      <c r="B19" s="11" t="n">
        <f aca="false">'Projected Savings'!B5</f>
        <v>9.13</v>
      </c>
      <c r="C19" s="12" t="n">
        <f aca="false">'Projected Savings'!C5</f>
        <v>86031.99</v>
      </c>
      <c r="D19" s="12" t="n">
        <f aca="false">'Projected Savings'!D5</f>
        <v>325005.175</v>
      </c>
    </row>
    <row r="20" customFormat="false" ht="15" hidden="false" customHeight="false" outlineLevel="0" collapsed="false">
      <c r="A20" s="10" t="n">
        <f aca="false">'Projected Savings'!A6</f>
        <v>0.1</v>
      </c>
      <c r="B20" s="11" t="n">
        <f aca="false">'Projected Savings'!B6</f>
        <v>18.26</v>
      </c>
      <c r="C20" s="12" t="n">
        <f aca="false">'Projected Savings'!C6</f>
        <v>172063.98</v>
      </c>
      <c r="D20" s="12" t="n">
        <f aca="false">'Projected Savings'!D6</f>
        <v>650010.35</v>
      </c>
    </row>
    <row r="21" customFormat="false" ht="15" hidden="false" customHeight="false" outlineLevel="0" collapsed="false">
      <c r="A21" s="10" t="n">
        <f aca="false">'Projected Savings'!A7</f>
        <v>0.15</v>
      </c>
      <c r="B21" s="11" t="n">
        <f aca="false">'Projected Savings'!B7</f>
        <v>27.39</v>
      </c>
      <c r="C21" s="12" t="n">
        <f aca="false">'Projected Savings'!C7</f>
        <v>258095.97</v>
      </c>
      <c r="D21" s="12" t="n">
        <f aca="false">'Projected Savings'!D7</f>
        <v>975015.525</v>
      </c>
    </row>
    <row r="23" customFormat="false" ht="15" hidden="false" customHeight="false" outlineLevel="0" collapsed="false">
      <c r="A23" s="5" t="s">
        <v>19</v>
      </c>
      <c r="B23" s="5"/>
      <c r="C23" s="5"/>
      <c r="D23" s="5"/>
      <c r="E23" s="5"/>
    </row>
    <row r="24" customFormat="false" ht="15" hidden="false" customHeight="false" outlineLevel="0" collapsed="false">
      <c r="A24" s="13" t="s">
        <v>20</v>
      </c>
      <c r="B24" s="13"/>
      <c r="C24" s="13"/>
      <c r="D24" s="13"/>
      <c r="E24" s="13"/>
    </row>
    <row r="25" customFormat="false" ht="15" hidden="false" customHeight="false" outlineLevel="0" collapsed="false">
      <c r="A25" s="13" t="s">
        <v>21</v>
      </c>
      <c r="B25" s="13"/>
      <c r="C25" s="13"/>
      <c r="D25" s="13"/>
      <c r="E25" s="13"/>
    </row>
  </sheetData>
  <mergeCells count="9">
    <mergeCell ref="A1:E1"/>
    <mergeCell ref="A2:E2"/>
    <mergeCell ref="A7:E7"/>
    <mergeCell ref="A8:E9"/>
    <mergeCell ref="A14:E14"/>
    <mergeCell ref="A15:E17"/>
    <mergeCell ref="A23:E23"/>
    <mergeCell ref="A24:E24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60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22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14" t="s">
        <v>23</v>
      </c>
      <c r="B2" s="14"/>
      <c r="C2" s="14"/>
      <c r="D2" s="14"/>
      <c r="E2" s="14"/>
      <c r="F2" s="14"/>
    </row>
    <row r="4" customFormat="false" ht="15" hidden="false" customHeight="false" outlineLevel="0" collapsed="false">
      <c r="A4" s="7" t="s">
        <v>24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</row>
    <row r="5" customFormat="false" ht="43.5" hidden="false" customHeight="true" outlineLevel="0" collapsed="false">
      <c r="A5" s="15" t="n">
        <v>1</v>
      </c>
      <c r="B5" s="15" t="s">
        <v>30</v>
      </c>
      <c r="C5" s="16" t="n">
        <v>83</v>
      </c>
      <c r="D5" s="15" t="s">
        <v>31</v>
      </c>
      <c r="E5" s="15" t="s">
        <v>32</v>
      </c>
      <c r="F5" s="15" t="s">
        <v>33</v>
      </c>
    </row>
    <row r="6" customFormat="false" ht="43.5" hidden="false" customHeight="true" outlineLevel="0" collapsed="false">
      <c r="A6" s="15" t="n">
        <v>2</v>
      </c>
      <c r="B6" s="15" t="s">
        <v>34</v>
      </c>
      <c r="C6" s="16" t="n">
        <v>21</v>
      </c>
      <c r="D6" s="15" t="s">
        <v>31</v>
      </c>
      <c r="E6" s="15" t="s">
        <v>35</v>
      </c>
      <c r="F6" s="15" t="s">
        <v>36</v>
      </c>
    </row>
    <row r="7" customFormat="false" ht="43.5" hidden="false" customHeight="true" outlineLevel="0" collapsed="false">
      <c r="A7" s="15" t="n">
        <v>3</v>
      </c>
      <c r="B7" s="15" t="s">
        <v>37</v>
      </c>
      <c r="C7" s="16" t="n">
        <v>235</v>
      </c>
      <c r="D7" s="15" t="s">
        <v>31</v>
      </c>
      <c r="E7" s="15" t="s">
        <v>35</v>
      </c>
      <c r="F7" s="15" t="s">
        <v>38</v>
      </c>
    </row>
    <row r="8" customFormat="false" ht="43.5" hidden="false" customHeight="true" outlineLevel="0" collapsed="false">
      <c r="A8" s="15" t="n">
        <v>4</v>
      </c>
      <c r="B8" s="15" t="s">
        <v>39</v>
      </c>
      <c r="C8" s="16" t="n">
        <v>339</v>
      </c>
      <c r="D8" s="15" t="s">
        <v>31</v>
      </c>
      <c r="E8" s="15" t="s">
        <v>40</v>
      </c>
      <c r="F8" s="15" t="s">
        <v>41</v>
      </c>
    </row>
    <row r="9" customFormat="false" ht="43.5" hidden="false" customHeight="true" outlineLevel="0" collapsed="false">
      <c r="A9" s="15" t="n">
        <v>5</v>
      </c>
      <c r="B9" s="15" t="s">
        <v>42</v>
      </c>
      <c r="C9" s="16" t="n">
        <v>2.2</v>
      </c>
      <c r="D9" s="15" t="s">
        <v>43</v>
      </c>
      <c r="E9" s="15" t="s">
        <v>44</v>
      </c>
      <c r="F9" s="15" t="s">
        <v>45</v>
      </c>
    </row>
    <row r="10" customFormat="false" ht="43.5" hidden="false" customHeight="true" outlineLevel="0" collapsed="false">
      <c r="A10" s="17" t="n">
        <v>6</v>
      </c>
      <c r="B10" s="17" t="s">
        <v>46</v>
      </c>
      <c r="C10" s="17" t="s">
        <v>47</v>
      </c>
      <c r="D10" s="17" t="s">
        <v>48</v>
      </c>
      <c r="E10" s="17" t="s">
        <v>49</v>
      </c>
      <c r="F10" s="17" t="s">
        <v>50</v>
      </c>
    </row>
    <row r="11" customFormat="false" ht="43.5" hidden="false" customHeight="true" outlineLevel="0" collapsed="false">
      <c r="A11" s="15" t="n">
        <v>7</v>
      </c>
      <c r="B11" s="15" t="s">
        <v>51</v>
      </c>
      <c r="C11" s="16" t="n">
        <v>5000</v>
      </c>
      <c r="D11" s="15" t="s">
        <v>43</v>
      </c>
      <c r="E11" s="15" t="s">
        <v>52</v>
      </c>
      <c r="F11" s="15" t="s">
        <v>53</v>
      </c>
    </row>
    <row r="12" customFormat="false" ht="43.5" hidden="false" customHeight="true" outlineLevel="0" collapsed="false">
      <c r="A12" s="15" t="n">
        <v>8</v>
      </c>
      <c r="B12" s="15" t="s">
        <v>54</v>
      </c>
      <c r="C12" s="16" t="n">
        <v>1.8846</v>
      </c>
      <c r="D12" s="15" t="s">
        <v>43</v>
      </c>
      <c r="E12" s="15" t="s">
        <v>55</v>
      </c>
      <c r="F12" s="15" t="s">
        <v>56</v>
      </c>
    </row>
    <row r="13" customFormat="false" ht="43.5" hidden="false" customHeight="true" outlineLevel="0" collapsed="false">
      <c r="A13" s="17" t="n">
        <v>9</v>
      </c>
      <c r="B13" s="17" t="s">
        <v>57</v>
      </c>
      <c r="C13" s="17" t="n">
        <f aca="false">C11*C12</f>
        <v>9423</v>
      </c>
      <c r="D13" s="17" t="s">
        <v>58</v>
      </c>
      <c r="E13" s="17" t="s">
        <v>59</v>
      </c>
      <c r="F13" s="17" t="s">
        <v>60</v>
      </c>
    </row>
    <row r="14" customFormat="false" ht="43.5" hidden="false" customHeight="true" outlineLevel="0" collapsed="false">
      <c r="A14" s="15" t="n">
        <v>10</v>
      </c>
      <c r="B14" s="15" t="s">
        <v>61</v>
      </c>
      <c r="C14" s="16" t="n">
        <v>25000</v>
      </c>
      <c r="D14" s="15" t="s">
        <v>43</v>
      </c>
      <c r="E14" s="15" t="s">
        <v>62</v>
      </c>
      <c r="F14" s="15" t="s">
        <v>63</v>
      </c>
    </row>
    <row r="15" customFormat="false" ht="43.5" hidden="false" customHeight="true" outlineLevel="0" collapsed="false">
      <c r="A15" s="15" t="n">
        <v>11</v>
      </c>
      <c r="B15" s="15" t="s">
        <v>64</v>
      </c>
      <c r="C15" s="16" t="n">
        <v>1.4239</v>
      </c>
      <c r="D15" s="15" t="s">
        <v>43</v>
      </c>
      <c r="E15" s="15" t="s">
        <v>55</v>
      </c>
      <c r="F15" s="15" t="s">
        <v>65</v>
      </c>
    </row>
    <row r="16" customFormat="false" ht="43.5" hidden="false" customHeight="true" outlineLevel="0" collapsed="false">
      <c r="A16" s="17" t="n">
        <v>12</v>
      </c>
      <c r="B16" s="17" t="s">
        <v>66</v>
      </c>
      <c r="C16" s="17" t="n">
        <f aca="false">C14*C15</f>
        <v>35597.5</v>
      </c>
      <c r="D16" s="17" t="s">
        <v>58</v>
      </c>
      <c r="E16" s="17" t="s">
        <v>67</v>
      </c>
      <c r="F16" s="17" t="s">
        <v>68</v>
      </c>
    </row>
    <row r="17" customFormat="false" ht="43.5" hidden="false" customHeight="true" outlineLevel="0" collapsed="false">
      <c r="A17" s="17" t="n">
        <v>13</v>
      </c>
      <c r="B17" s="17" t="s">
        <v>69</v>
      </c>
      <c r="C17" s="17" t="s">
        <v>70</v>
      </c>
      <c r="D17" s="17" t="s">
        <v>71</v>
      </c>
      <c r="E17" s="17" t="s">
        <v>72</v>
      </c>
      <c r="F17" s="17" t="s">
        <v>73</v>
      </c>
    </row>
    <row r="18" customFormat="false" ht="43.5" hidden="false" customHeight="true" outlineLevel="0" collapsed="false">
      <c r="A18" s="17" t="n">
        <v>14</v>
      </c>
      <c r="B18" s="17" t="s">
        <v>74</v>
      </c>
      <c r="C18" s="17" t="s">
        <v>75</v>
      </c>
      <c r="D18" s="17" t="s">
        <v>76</v>
      </c>
      <c r="E18" s="17" t="s">
        <v>77</v>
      </c>
      <c r="F18" s="17" t="s">
        <v>78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6" min="4" style="0" width="18"/>
    <col collapsed="false" customWidth="true" hidden="false" outlineLevel="0" max="7" min="7" style="0" width="60"/>
  </cols>
  <sheetData>
    <row r="1" customFormat="false" ht="19.7" hidden="false" customHeight="false" outlineLevel="0" collapsed="false">
      <c r="A1" s="1" t="s">
        <v>79</v>
      </c>
      <c r="B1" s="1"/>
      <c r="C1" s="1"/>
      <c r="D1" s="1"/>
      <c r="E1" s="1"/>
      <c r="F1" s="1"/>
      <c r="G1" s="1"/>
    </row>
    <row r="4" customFormat="false" ht="36" hidden="false" customHeight="true" outlineLevel="0" collapsed="false">
      <c r="A4" s="7" t="s">
        <v>80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  <c r="G4" s="7" t="s">
        <v>86</v>
      </c>
    </row>
    <row r="5" customFormat="false" ht="45.75" hidden="false" customHeight="true" outlineLevel="0" collapsed="false">
      <c r="A5" s="15" t="s">
        <v>87</v>
      </c>
      <c r="B5" s="18" t="n">
        <v>83</v>
      </c>
      <c r="C5" s="19" t="n">
        <v>2.2</v>
      </c>
      <c r="D5" s="19" t="n">
        <f aca="false">B5*C5</f>
        <v>182.6</v>
      </c>
      <c r="E5" s="20" t="n">
        <f aca="false">D5*'Assumptions &amp; Sources'!C13</f>
        <v>1720639.8</v>
      </c>
      <c r="F5" s="20" t="n">
        <f aca="false">D5*'Assumptions &amp; Sources'!C16</f>
        <v>6500103.5</v>
      </c>
      <c r="G5" s="15" t="s">
        <v>88</v>
      </c>
    </row>
    <row r="6" customFormat="false" ht="45.75" hidden="false" customHeight="true" outlineLevel="0" collapsed="false">
      <c r="A6" s="15" t="s">
        <v>89</v>
      </c>
      <c r="B6" s="18" t="n">
        <v>21</v>
      </c>
      <c r="C6" s="21" t="s">
        <v>90</v>
      </c>
      <c r="D6" s="21" t="s">
        <v>90</v>
      </c>
      <c r="E6" s="21" t="s">
        <v>90</v>
      </c>
      <c r="F6" s="21" t="s">
        <v>90</v>
      </c>
      <c r="G6" s="15" t="s">
        <v>91</v>
      </c>
    </row>
    <row r="7" customFormat="false" ht="45.75" hidden="false" customHeight="true" outlineLevel="0" collapsed="false">
      <c r="A7" s="15" t="s">
        <v>92</v>
      </c>
      <c r="B7" s="18" t="n">
        <v>235</v>
      </c>
      <c r="C7" s="21" t="s">
        <v>90</v>
      </c>
      <c r="D7" s="21" t="s">
        <v>90</v>
      </c>
      <c r="E7" s="21" t="s">
        <v>90</v>
      </c>
      <c r="F7" s="21" t="s">
        <v>90</v>
      </c>
      <c r="G7" s="15" t="s">
        <v>93</v>
      </c>
    </row>
    <row r="8" customFormat="false" ht="15" hidden="false" customHeight="false" outlineLevel="0" collapsed="false">
      <c r="A8" s="22" t="s">
        <v>94</v>
      </c>
      <c r="B8" s="23" t="n">
        <f aca="false">SUM(B5:B7)</f>
        <v>339</v>
      </c>
      <c r="C8" s="22"/>
      <c r="D8" s="24" t="n">
        <f aca="false">D5</f>
        <v>182.6</v>
      </c>
      <c r="E8" s="25" t="n">
        <f aca="false">E5</f>
        <v>1720639.8</v>
      </c>
      <c r="F8" s="25" t="n">
        <f aca="false">F5</f>
        <v>6500103.5</v>
      </c>
      <c r="G8" s="22" t="s">
        <v>95</v>
      </c>
    </row>
    <row r="10" customFormat="false" ht="15" hidden="false" customHeight="false" outlineLevel="0" collapsed="false">
      <c r="A10" s="3" t="s">
        <v>96</v>
      </c>
      <c r="B10" s="26" t="n">
        <f aca="false">B5/B8</f>
        <v>0.244837758112094</v>
      </c>
    </row>
    <row r="11" customFormat="false" ht="39.75" hidden="false" customHeight="true" outlineLevel="0" collapsed="false">
      <c r="A11" s="6" t="s">
        <v>97</v>
      </c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</row>
  </sheetData>
  <mergeCells count="2">
    <mergeCell ref="A1:G1"/>
    <mergeCell ref="A11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98</v>
      </c>
      <c r="B1" s="1"/>
      <c r="C1" s="1"/>
      <c r="D1" s="1"/>
      <c r="E1" s="1"/>
    </row>
    <row r="2" customFormat="false" ht="30" hidden="false" customHeight="true" outlineLevel="0" collapsed="false">
      <c r="A2" s="14" t="s">
        <v>99</v>
      </c>
      <c r="B2" s="14"/>
      <c r="C2" s="14"/>
      <c r="D2" s="14"/>
      <c r="E2" s="14"/>
    </row>
    <row r="4" customFormat="false" ht="26.8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29</v>
      </c>
    </row>
    <row r="5" customFormat="false" ht="15" hidden="false" customHeight="false" outlineLevel="0" collapsed="false">
      <c r="A5" s="27" t="n">
        <v>0.05</v>
      </c>
      <c r="B5" s="11" t="n">
        <f aca="false">'Current-State Cost'!$D$5*A5</f>
        <v>9.13</v>
      </c>
      <c r="C5" s="12" t="n">
        <f aca="false">B5*'Assumptions &amp; Sources'!$C$13</f>
        <v>86031.99</v>
      </c>
      <c r="D5" s="12" t="n">
        <f aca="false">B5*'Assumptions &amp; Sources'!$C$16</f>
        <v>325005.175</v>
      </c>
      <c r="E5" s="28"/>
    </row>
    <row r="6" customFormat="false" ht="15" hidden="false" customHeight="false" outlineLevel="0" collapsed="false">
      <c r="A6" s="27" t="n">
        <v>0.1</v>
      </c>
      <c r="B6" s="11" t="n">
        <f aca="false">'Current-State Cost'!$D$5*A6</f>
        <v>18.26</v>
      </c>
      <c r="C6" s="12" t="n">
        <f aca="false">B6*'Assumptions &amp; Sources'!$C$13</f>
        <v>172063.98</v>
      </c>
      <c r="D6" s="12" t="n">
        <f aca="false">B6*'Assumptions &amp; Sources'!$C$16</f>
        <v>650010.35</v>
      </c>
      <c r="E6" s="28" t="s">
        <v>100</v>
      </c>
    </row>
    <row r="7" customFormat="false" ht="15" hidden="false" customHeight="false" outlineLevel="0" collapsed="false">
      <c r="A7" s="27" t="n">
        <v>0.15</v>
      </c>
      <c r="B7" s="11" t="n">
        <f aca="false">'Current-State Cost'!$D$5*A7</f>
        <v>27.39</v>
      </c>
      <c r="C7" s="12" t="n">
        <f aca="false">B7*'Assumptions &amp; Sources'!$C$13</f>
        <v>258095.97</v>
      </c>
      <c r="D7" s="12" t="n">
        <f aca="false">B7*'Assumptions &amp; Sources'!$C$16</f>
        <v>975015.525</v>
      </c>
      <c r="E7" s="28"/>
    </row>
    <row r="9" customFormat="false" ht="79.5" hidden="false" customHeight="true" outlineLevel="0" collapsed="false">
      <c r="A9" s="6" t="s">
        <v>101</v>
      </c>
      <c r="B9" s="6"/>
      <c r="C9" s="6"/>
      <c r="D9" s="6"/>
      <c r="E9" s="6"/>
    </row>
    <row r="10" customFormat="false" ht="15" hidden="false" customHeight="false" outlineLevel="0" collapsed="false">
      <c r="A10" s="6"/>
      <c r="B10" s="6"/>
      <c r="C10" s="6"/>
      <c r="D10" s="6"/>
      <c r="E10" s="6"/>
    </row>
    <row r="11" customFormat="false" ht="15" hidden="false" customHeight="false" outlineLevel="0" collapsed="false">
      <c r="A11" s="6"/>
      <c r="B11" s="6"/>
      <c r="C11" s="6"/>
      <c r="D11" s="6"/>
      <c r="E11" s="6"/>
    </row>
    <row r="12" customFormat="false" ht="15" hidden="false" customHeight="false" outlineLevel="0" collapsed="false">
      <c r="A12" s="6"/>
      <c r="B12" s="6"/>
      <c r="C12" s="6"/>
      <c r="D12" s="6"/>
      <c r="E12" s="6"/>
    </row>
  </sheetData>
  <mergeCells count="3">
    <mergeCell ref="A1:E1"/>
    <mergeCell ref="A2:E2"/>
    <mergeCell ref="A9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102</v>
      </c>
      <c r="B1" s="1"/>
    </row>
    <row r="2" customFormat="false" ht="15" hidden="false" customHeight="false" outlineLevel="0" collapsed="false">
      <c r="A2" s="29" t="s">
        <v>103</v>
      </c>
      <c r="B2" s="29"/>
    </row>
    <row r="4" customFormat="false" ht="75" hidden="false" customHeight="true" outlineLevel="0" collapsed="false">
      <c r="A4" s="30" t="n">
        <v>1</v>
      </c>
      <c r="B4" s="31" t="s">
        <v>104</v>
      </c>
    </row>
    <row r="5" customFormat="false" ht="75" hidden="false" customHeight="true" outlineLevel="0" collapsed="false">
      <c r="A5" s="30" t="n">
        <v>2</v>
      </c>
      <c r="B5" s="31" t="s">
        <v>105</v>
      </c>
    </row>
    <row r="6" customFormat="false" ht="75" hidden="false" customHeight="true" outlineLevel="0" collapsed="false">
      <c r="A6" s="30" t="n">
        <v>3</v>
      </c>
      <c r="B6" s="31" t="s">
        <v>106</v>
      </c>
    </row>
    <row r="7" customFormat="false" ht="75" hidden="false" customHeight="true" outlineLevel="0" collapsed="false">
      <c r="A7" s="30" t="n">
        <v>4</v>
      </c>
      <c r="B7" s="31" t="s">
        <v>107</v>
      </c>
    </row>
    <row r="8" customFormat="false" ht="75" hidden="false" customHeight="true" outlineLevel="0" collapsed="false">
      <c r="A8" s="30" t="n">
        <v>5</v>
      </c>
      <c r="B8" s="31" t="s">
        <v>108</v>
      </c>
    </row>
    <row r="9" customFormat="false" ht="75" hidden="false" customHeight="true" outlineLevel="0" collapsed="false">
      <c r="A9" s="30" t="n">
        <v>6</v>
      </c>
      <c r="B9" s="31" t="s">
        <v>109</v>
      </c>
    </row>
    <row r="10" customFormat="false" ht="75" hidden="false" customHeight="true" outlineLevel="0" collapsed="false">
      <c r="A10" s="30" t="n">
        <v>7</v>
      </c>
      <c r="B10" s="31" t="s">
        <v>110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2026-09-28T08:07:29Z</dcterms:created>
  <dc:creator>openpyxl</dc:creator>
  <dc:description/>
  <dc:language>en-US</dc:language>
  <cp:lastModifiedBy/>
  <dcterms:modified xsi:type="dcterms:W3CDTF">2026-09-28T08:07:29Z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