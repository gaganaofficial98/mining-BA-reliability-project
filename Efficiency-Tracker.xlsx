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Tracker"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<sst xmlns="http://schemas.openxmlformats.org/spreadsheetml/2006/main" count="98" uniqueCount="95">
  <si>
    <t xml:space="preserve">Efficiency Tracker — Mining Maintenance Reliability Reporting Project</t>
  </si>
  <si>
    <t xml:space="preserve">Owner: Gagana Suresh</t>
  </si>
  <si>
    <t xml:space="preserve">Purpose: a running, task-by-task log of manual-time-estimate vs. actual-time-with-Claude, per the Master Plan (Section 3). This is the source data behind the project's efficiency-story narrative for the README, video, and LinkedIn article.</t>
  </si>
  <si>
    <t xml:space="preserve">How to use this workbook</t>
  </si>
  <si>
    <t xml:space="preserve">1. Log a task the moment you finish it, not retrospectively at the end of the project — see the honest-caveat note below for why this matters.</t>
  </si>
  <si>
    <t xml:space="preserve">2. "Estimated manual time" should ideally be written down BEFORE you start the task, based on how long this kind of work normally takes. If it wasn't recorded beforehand, flag that plainly in the Honest Caveat column — a retrospective estimate is weaker evidence than a pre-recorded one, and pretending otherwise would undermine the whole point of this tracker.</t>
  </si>
  <si>
    <t xml:space="preserve">3. "Actual time with Claude" should be the real elapsed time you spent on the task in this session, not just Claude's generation time — include your own review, follow-up prompts, and any manual edits.</t>
  </si>
  <si>
    <t xml:space="preserve">4. Quality signal must be concrete and countable (e.g. "caught 3 requirement gaps", "flagged a numerical inconsistency"), not a vague "AI helped a lot".</t>
  </si>
  <si>
    <t xml:space="preserve">5. Every entry needs an honest caveat. If nothing detracts from the number, say so explicitly rather than leaving the field blank — a blank field reads as an oversight, not as "nothing to disclose".</t>
  </si>
  <si>
    <t xml:space="preserve">Known limitation of this workbook — disclosed, not hidden</t>
  </si>
  <si>
    <t xml:space="preserve">This tracker was created on 3 September 2026, partway through the project. Tasks completed before this date (stakeholder register, all six interview transcripts, the scope-decisions log, and the BRD v1 draft itself) do not have a pre-recorded manual-time estimate or a stopwatch-timed actual duration — they were built across a live working session, not logged in real time. The BRD v1 entry on the Tracker sheet is the first logged entry, and its manual-time estimate is retrospective (given by Gagana after the task was already done, not before), and its actual-time figure is reconstructed from session activity rather than a stopwatch. This is disclosed explicitly in that row's Honest Caveat column rather than presented as clean data. From this point forward, tasks should be logged live, task by task, as the Master Plan originally specified.</t>
  </si>
  <si>
    <t xml:space="preserve">Task ID / Name</t>
  </si>
  <si>
    <t xml:space="preserve">Deliverable Produced</t>
  </si>
  <si>
    <t xml:space="preserve">Date</t>
  </si>
  <si>
    <t xml:space="preserve">Estimated Manual Time (hrs)</t>
  </si>
  <si>
    <t xml:space="preserve">Actual Time with Claude (hrs)</t>
  </si>
  <si>
    <t xml:space="preserve">Time Reduction</t>
  </si>
  <si>
    <t xml:space="preserve">AI Role in Task</t>
  </si>
  <si>
    <t xml:space="preserve">Quality Signal</t>
  </si>
  <si>
    <t xml:space="preserve">Technique Used</t>
  </si>
  <si>
    <t xml:space="preserve">Honest Caveat</t>
  </si>
  <si>
    <t xml:space="preserve">BRD v1 draft — Maintenance Reliability Reporting</t>
  </si>
  <si>
    <t xml:space="preserve">03-BRD-Maintenance-Reporting.md</t>
  </si>
  <si>
    <t xml:space="preserve">2026-09-03</t>
  </si>
  <si>
    <t xml:space="preserve">Drafting (synthesis) + structured output</t>
  </si>
  <si>
    <t xml:space="preserve">Zero-draft synthesis of 6 stakeholder interview transcripts + the full Scope-Decisions-and-Limitations-Log into a 17-section BRD in one pass, correctly separating data-derived findings from labelled assumptions throughout and converting 3 independently-corroborated stakeholder requests (asset-level rollup) into a single ranked FR-01 without being told to merge them.</t>
  </si>
  <si>
    <t xml:space="preserve">Template-constrained structured output; multi-source synthesis/triangulation across independent interviews</t>
  </si>
  <si>
    <t xml:space="preserve">Estimate is RETROSPECTIVE, not pre-recorded (this tracker didn't exist yet when the task started) — treat the 4-6hr manual estimate as directionally honest, not precise. Actual time is reconstructed from session activity, not a stopwatch, and covers drafting only — it excludes Gagana's own review time and the upcoming red-team-critique/v2-revision pass (Master Plan, Week 1 Day 5), which will be logged as its own separate task.</t>
  </si>
  <si>
    <t xml:space="preserve">Red-team critique + BRD v2 revision</t>
  </si>
  <si>
    <t xml:space="preserve">03-BRD-Maintenance-Reporting.md (v2)</t>
  </si>
  <si>
    <t xml:space="preserve">2026-09-04</t>
  </si>
  <si>
    <t xml:space="preserve">Critique (adversarial reviewer persona) + revision (structured fix-application)</t>
  </si>
  <si>
    <t xml:space="preserve">Independent adversarial pass returned 30 numbered findings across 6 categories, including a genuine self-contradiction (FR-06 labeled Must, worded as Should) and 2 locked business requirements (BR-04, BR-05) with zero corresponding functional requirement. Every finding was addressed and traced in a full v1→v2 change log (BRD Appendix B), not just acknowledged. Most valuable catch: the critique surfaced that v1's repeated "independent stakeholder corroboration" claims were never actually justified, since all 6 interview personas were generated by the same process — a real epistemic weakness in the document's own evidentiary reasoning, not a wording nitpick.</t>
  </si>
  <si>
    <t xml:space="preserve">Adversarial critique/red-team loop (role-prompted skeptical PM reviewer) run in a memory-isolated context, followed by structured finding-by-finding revision</t>
  </si>
  <si>
    <t xml:space="preserve">Manual-time estimate is retrospective, given after the task was already complete, not pre-recorded — same disclosed limitation as row 1. The critique itself was run and pasted in by Gagana (not automated by Claude in this session, by her own choice), so "actual time with Claude" here covers Claude's v2 revision work only, not the time Gagana spent running the critique prompt herself in a separate chat — the true end-to-end time (her critique run + this revision) is somewhat higher than the 0.75 hrs logged here.</t>
  </si>
  <si>
    <t xml:space="preserve">Day 9 — Load dataset into SQLite + write core SQL queries</t>
  </si>
  <si>
    <t xml:space="preserve">data/load_to_sqlite.py, data/mining_reliability.db, data/core_queries.sql</t>
  </si>
  <si>
    <t xml:space="preserve">2026-09-09</t>
  </si>
  <si>
    <t xml:space="preserve">Drafting (load script + 3 SQL queries) + verification (built-in sanity checks: row count, nulls, tier-match, failure-count check)</t>
  </si>
  <si>
    <t xml:space="preserve">Independent cross-check: the failure-rate-by-tier query (2.09% / 2.77% / 3.92%) reproduced, from a completely separate calculation, the exact same figures found in the original asset-tier mapping exercise weeks earlier (25 Aug) — two calculations weeks apart landing on identical numbers is real corroboration, not something engineered to match.</t>
  </si>
  <si>
    <t xml:space="preserve">Prompt-to-code from an explicit spec (source-of-truth rule + 3 data-quality exclusions + tier repair-time lookup), same four-ingredient pattern as reskin_deal.py, plus a built-in verification step</t>
  </si>
  <si>
    <t xml:space="preserve">Estimate is RETROSPECTIVE, not pre-recorded (logged the day after, not before starting) — same disclosed limitation as rows 1-2. Actual-time figure is intentionally left blank: needs Gagana's own real elapsed time (this session included a long, genuine troubleshooting stretch on Git/GitHub setup that is a SEPARATE task and should not be folded into this SQL-work number).</t>
  </si>
  <si>
    <t xml:space="preserve">Data Dictionary build</t>
  </si>
  <si>
    <t xml:space="preserve">05-Data-Dictionary.md — full 20-field spec (source-tagged) + Section 3 benchmark documentation</t>
  </si>
  <si>
    <t xml:space="preserve">2026-09-08</t>
  </si>
  <si>
    <t xml:space="preserve">Drafting (full first-pass dictionary from the merged CSV's real columns + prior scope-log decisions), structured-output formatting</t>
  </si>
  <si>
    <t xml:space="preserve">Reconciled three previously-separate concepts (repair time / repair cost / downtime cost) that an earlier explanation had blurred together — the dictionary is what forced that clarity.</t>
  </si>
  <si>
    <t xml:space="preserve">Structured output (fixed source-tag legend applied field-by-field)</t>
  </si>
  <si>
    <t xml:space="preserve">Estimated manual time (~3.5 hrs) is RECONSTRUCTED after the task, not pre-recorded. Actual time with Claude needs a real stopwatch/wall-clock number — left blank rather than guessed. Date (8 Sept 2026) is taken from 05-Data-Dictionary.md's own dated status line, since this task's completion date was never separately logged at the time.</t>
  </si>
  <si>
    <t xml:space="preserve">Ancillary-tier repair-time decision</t>
  </si>
  <si>
    <t xml:space="preserve">Scope-Decisions-and-Limitations-Log.md new decision entry + correction note; 05-Data-Dictionary.md §3.1–3.2</t>
  </si>
  <si>
    <t xml:space="preserve">Options analysis (3 weighted options) → recommendation given only when explicitly asked for Claude's own pick, with reasoning</t>
  </si>
  <si>
    <t xml:space="preserve">Caught a real overclaim before it reached the Week 3 business case: the 1 Sept log said sourced dollar figures covered "43 of 48" assets; this decision showed the true figure is 14 of 48. Corrected in place rather than left standing.</t>
  </si>
  <si>
    <t xml:space="preserve">Options analysis (same family as the Step 4 fork, 7 Sept)</t>
  </si>
  <si>
    <t xml:space="preserve">Estimate (~45 min) is RECONSTRUCTED, not pre-recorded. This decision was Claude's recommendation, adopted by Gagana on request. Actual time needs Gagana's number — left blank.</t>
  </si>
  <si>
    <t xml:space="preserve">Cost-of-downtime business case build</t>
  </si>
  <si>
    <t xml:space="preserve">06-Business-Case.xlsx — 5-tab linked Excel model (Summary, Assumptions &amp; Sources, Current-State Cost, Projected Savings, Limitations)</t>
  </si>
  <si>
    <t xml:space="preserve">2026-09-28</t>
  </si>
  <si>
    <t xml:space="preserve">Drafting (full openpyxl build: formulas, formatting, tab structure), sourcing (live USD/AUD and GBP/AUD exchange rates via web search, cited), self-directed verification (3 debugging passes against recalc.py plus manual hand-calculation checks before delivery)</t>
  </si>
  <si>
    <t xml:space="preserve">Caught its own formula bug before delivery: Current-State Cost!E5/F5 originally referenced only the rate cell without multiplying by hours, which would have silently shipped ~$9,423 instead of the correct ~$1.72M — a ~180x understatement — had the multi-pass verification not caught it. Also avoided false precision by presenting the downtime-cost benchmark as a Low/High sensitivity range and disclosed Fixed-plant/Ancillary as named data gaps rather than fabricating figures to fill them.</t>
  </si>
  <si>
    <t xml:space="preserve">Structured output (formula-driven financial model, not hardcoded) + sensitivity-range treatment + disclosed-gap treatment</t>
  </si>
  <si>
    <t xml:space="preserve">Manual-time estimate (~5 hrs) is Claude's own estimate, not Gagana's judgment. Actual time with Claude is still unlogged — spanned one continuous session including a Tableau detour, so a raw session-clock time would overstate it.</t>
  </si>
  <si>
    <t xml:space="preserve">Dashboard visual design overhaul + "Worst Offenders" top-5 highlight</t>
  </si>
  <si>
    <t xml:space="preserve">Mining-Fleet-Reliability-Dashboard (Tableau Public) — custom navy/amber/gray color system applied across all 4 worksheets and the dashboard shell; new Ranking calculated field driving a top-5 highlight</t>
  </si>
  <si>
    <t xml:space="preserve">2026-09-30</t>
  </si>
  <si>
    <t xml:space="preserve">Full execution via computer-use — clicking through Tableau's live color-editor dialogs, typing hex values, writing and validating the RANK() calculated-field formula, applying it to the Color shelf, and reformatting the dashboard shell directly in the desktop app</t>
  </si>
  <si>
    <t xml:space="preserve">Caught its own mistake before it shipped: a misclick applied the wrong recent-color swatch to the dashboard background, caught on the very next verification screenshot and corrected within the same pass. Also avoided the out-of-the-box Tableau default palette in favor of a deliberate, restated design system.</t>
  </si>
  <si>
    <t xml:space="preserve">Structured design-system application + conditional highlighting via table calculation</t>
  </si>
  <si>
    <t xml:space="preserve">Actual time (~15 min, 2:58–3:13 PM) is the strongest data point in this tracker — timestamped directly off Tableau's own menu-bar clock, not reconstructed. Manual-time estimate is Claude's own guess, not Gagana's. This is a design/UX polish task, not a new analytical finding.</t>
  </si>
  <si>
    <t xml:space="preserve">Benefit Realization Report</t>
  </si>
  <si>
    <t xml:space="preserve">09-Benefit-Realization-Report.md — full Benefits Dependency Network (Ward &amp; Daniel) across 5 dependency chains, an attribution critique scoring every claimed benefit High/Medium/Low/unscored, 6 new post-launch KPIs, reconciliation against the real 06-Business-Case.xlsx</t>
  </si>
  <si>
    <t xml:space="preserve">Drafting (full report structure and content against the BDN framework), synthesis across 5 prior project documents, independent financial recomputation as a pre-check, direct reconciliation against the real workbook once supplied, self-directed critique (downgrades the report's own largest financial claim rather than defending it)</t>
  </si>
  <si>
    <t xml:space="preserve">Two real integrity findings: (1) an independent recomputation of the mobile-fleet dollar figures, done before the real 06-Business-Case.xlsx was available, matched the actual workbook's cell values to the cent once supplied; (2) the attribution critique caught that the report's single largest dollar claim (the Step 4 escalation-checkpoint's 5/10/15% projected savings) has no external benchmark, no pilot, no counterfactual control — and was explicitly downgraded to "working-planning figure only, do not quote externally."</t>
  </si>
  <si>
    <t xml:space="preserve">Framework-grounded structured output (Ward &amp; Daniel Benefits Dependency Network) + attribution critique (mechanism/counterfactual/evidence test applied uniformly, including to the report's own strongest claim)</t>
  </si>
  <si>
    <t xml:space="preserve">Manual-time estimate (~5–5.5 hrs, midpoint used) is Claude's own guess at comparable BA effort, not Gagana's judgment. Actual time (~20–25 min, midpoint used) is RECONSTRUCTED from the session's tool-call sequence, not a stopwatch capture — a weaker data point than Entry 4. The Step 4 savings range remains explicitly unvalidated pending Reliability Engineer/Finance sign-off.</t>
  </si>
  <si>
    <t xml:space="preserve">Requirements Traceability Matrix</t>
  </si>
  <si>
    <t xml:space="preserve">10-Traceability-Matrix.xlsx — 5-tab linked Excel workbook (Traceability Matrix, BR &amp; Objective Status, Coverage Summary, Open Gaps &amp; Findings, Legend &amp; Methodology) mapping all 14 BRD FRs to their BR, user stories, test cases, and dashboard element, with live COUNTIF/COUNTIFS formulas</t>
  </si>
  <si>
    <t xml:space="preserve">2026-10-01</t>
  </si>
  <si>
    <t xml:space="preserve">Drafting (full openpyxl build: 5 tabs, live formulas, conditional fill coloring), cross-document reconciliation (forward-tracing every FR to its story/test case/dashboard element, then backward-tracing every "Ready" status to the analysis it depends on), self-directed verification (recalc.py, then manually re-read every computed value against hand-expected counts before delivery)</t>
  </si>
  <si>
    <t xml:space="preserve">Found a real cross-document inconsistency no single document's own review would have caught: 07-User-Stories.md and 08-Test-Cases.md both mark US-15/US-16 and TC-043–048 as Ready/Executable, but EDA-Findings.md explicitly stated the underlying Q5/Q6 statistical analysis had never actually been performed. Also surfaced 2 Must-level dashboard coverage gaps (FR-04 disclosure tags, FR-11 preventable/random split).</t>
  </si>
  <si>
    <t xml:space="preserve">Chain-of-thought cross-document reconciliation — trace every requirement forward (does it have a story/test/dashboard element?) and, separately, trace every claimed "Ready" status backward (does the thing it depends on actually exist?). The backward pass is what found Gap G5; the forward pass alone would have missed it.</t>
  </si>
  <si>
    <t xml:space="preserve">Manual-time estimate (~2.5 hrs) is Claude's own guess, not Gagana's. Actual time (~15–20 min, midpoint used) is RECONSTRUCTED from the session's tool-call sequence. This matrix's own finding (G5) means 07-User-Stories.md and 08-Test-Cases.md contained a real, uncorrected inaccuracy at the time this entry was logged — this entry documents that the matrix found the problem, not that it had yet been fixed.</t>
  </si>
  <si>
    <t xml:space="preserve">Real Q5/Q6 statistical analysis (resolving Traceability Matrix Gap G5)</t>
  </si>
  <si>
    <t xml:space="preserve">EDA-Findings.md Q5/Q6 sections rewritten with real results; 10-Traceability-Matrix.xlsx FR-12/FR-13 and BR-05/BR-06 updated; Scope-Decisions-and-Limitations-Log.md new decision entry</t>
  </si>
  <si>
    <t xml:space="preserve">A decision presented, not made unilaterally (two ways to close Gap G5 — run the analysis for real, or relabel the backlog — were put to Gagana; she chose to run the real analysis), then full execution: dataset sourcing and integrity verification, citation research, methodology design (the pre-registered bar), statistical computation (precision/recall across two questions, five failure modes), and self-directed honest reporting of a partial failure (TWF correctly failing its own precision bar) rather than softening the result.</t>
  </si>
  <si>
    <t xml:space="preserve">Arguably the strongest quality signal in the tracker: this entry reports a genuine partial failure rather than a clean win. TWF (tool-wear precursor detection) correctly scored as only Detectable-probabilistic (93.5% recall but just 5.4% precision) against the same pre-registered 90%/90% bar as every other failure mode — honored even where the result didn't flatter the finding. Also surfaced a brand-new limitation (cross-sectional vs. longitudinal data) that none of the project's prior 15+ documented limitations had named.</t>
  </si>
  <si>
    <t xml:space="preserve">Pre-registered statistical bar, set before testing — a pass/fail threshold (≥90% precision AND ≥90% recall) fixed before any rule was tested, closing off the failure mode of trying several candidate rules and reporting whichever looked best afterward.</t>
  </si>
  <si>
    <t xml:space="preserve">Manual-time estimate (~6–7 hrs, midpoint used) is Claude's own guess and the shakiest in this tracker — a manual BA would likely use existing statistical software rather than raw Python, so this is closer to "time to design/validate methodology and interpret results" than "time to execute the arithmetic." Actual time (~30–40 min, midpoint used) is RECONSTRUCTED, the largest estimated-vs-actual gap in the tracker, partly an artifact of an inflated manual baseline. Formal Reliability Engineer sign-off on the Q5/Q6 findings has not yet been obtained.</t>
  </si>
  <si>
    <t xml:space="preserve">Live Summary Stats</t>
  </si>
  <si>
    <t xml:space="preserve">Tasks logged</t>
  </si>
  <si>
    <t xml:space="preserve">Total estimated manual hours</t>
  </si>
  <si>
    <t xml:space="preserve">Total actual hours with Claude</t>
  </si>
  <si>
    <t xml:space="preserve">Median time reduction</t>
  </si>
  <si>
    <t xml:space="preserve">Entries with a real (non-blank) actual-time figure</t>
  </si>
  <si>
    <t xml:space="preserve">Note: figures here are only as honest as the underlying entries — see the README sheet's disclosed limitation before quoting this summary anywhere public-facing.</t>
  </si>
</sst>
</file>

<file path=xl/styles.xml><?xml version="1.0" encoding="utf-8"?>
<styleSheet xmlns="http://schemas.openxmlformats.org/spreadsheetml/2006/main">
  <numFmts count="4">
    <numFmt numFmtId="164" formatCode="General"/>
    <numFmt numFmtId="165" formatCode="0.0"/>
    <numFmt numFmtId="166" formatCode="0.0%"/>
    <numFmt numFmtId="167" formatCode="General"/>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5"/>
      <name val="Arial"/>
      <family val="0"/>
      <charset val="1"/>
    </font>
    <font>
      <b val="true"/>
      <sz val="11"/>
      <name val="Arial"/>
      <family val="0"/>
      <charset val="1"/>
    </font>
    <font>
      <i val="true"/>
      <sz val="10.5"/>
      <name val="Arial"/>
      <family val="0"/>
      <charset val="1"/>
    </font>
    <font>
      <b val="true"/>
      <sz val="10.5"/>
      <color rgb="FFFFFFFF"/>
      <name val="Arial"/>
      <family val="0"/>
      <charset val="1"/>
    </font>
    <font>
      <sz val="10"/>
      <name val="Arial"/>
      <family val="0"/>
      <charset val="1"/>
    </font>
  </fonts>
  <fills count="3">
    <fill>
      <patternFill patternType="none"/>
    </fill>
    <fill>
      <patternFill patternType="gray125"/>
    </fill>
    <fill>
      <patternFill patternType="solid">
        <fgColor rgb="FF1F4E78"/>
        <bgColor rgb="FF00336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center" vertical="top" textRotation="0" wrapText="false" indent="0" shrinkToFit="false"/>
      <protection locked="true" hidden="false"/>
    </xf>
    <xf numFmtId="166" fontId="9" fillId="0" borderId="1" xfId="0" applyFont="true" applyBorder="true" applyAlignment="true" applyProtection="false">
      <alignment horizontal="center" vertical="top" textRotation="0" wrapText="false" indent="0" shrinkToFit="false"/>
      <protection locked="true" hidden="false"/>
    </xf>
    <xf numFmtId="167" fontId="5" fillId="0" borderId="0" xfId="0" applyFont="true" applyBorder="false" applyAlignment="true" applyProtection="false">
      <alignment horizontal="left"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0"/>
  </cols>
  <sheetData>
    <row r="1" customFormat="false" ht="17.25" hidden="false" customHeight="true" outlineLevel="0" collapsed="false">
      <c r="A1" s="2" t="s">
        <v>0</v>
      </c>
    </row>
    <row r="3" customFormat="false" ht="15" hidden="false" customHeight="true" outlineLevel="0" collapsed="false">
      <c r="A3" s="3" t="s">
        <v>1</v>
      </c>
    </row>
    <row r="4" customFormat="false" ht="30" hidden="false" customHeight="true" outlineLevel="0" collapsed="false">
      <c r="A4" s="4" t="s">
        <v>2</v>
      </c>
    </row>
    <row r="6" customFormat="false" ht="15" hidden="false" customHeight="true" outlineLevel="0" collapsed="false">
      <c r="A6" s="5" t="s">
        <v>3</v>
      </c>
    </row>
    <row r="7" customFormat="false" ht="27.75" hidden="false" customHeight="true" outlineLevel="0" collapsed="false">
      <c r="A7" s="6" t="s">
        <v>4</v>
      </c>
    </row>
    <row r="8" customFormat="false" ht="27.75" hidden="false" customHeight="true" outlineLevel="0" collapsed="false">
      <c r="A8" s="6" t="s">
        <v>5</v>
      </c>
    </row>
    <row r="9" customFormat="false" ht="27.75" hidden="false" customHeight="true" outlineLevel="0" collapsed="false">
      <c r="A9" s="6" t="s">
        <v>6</v>
      </c>
    </row>
    <row r="10" customFormat="false" ht="27.75" hidden="false" customHeight="true" outlineLevel="0" collapsed="false">
      <c r="A10" s="6" t="s">
        <v>7</v>
      </c>
    </row>
    <row r="11" customFormat="false" ht="27.75" hidden="false" customHeight="true" outlineLevel="0" collapsed="false">
      <c r="A11" s="6" t="s">
        <v>8</v>
      </c>
    </row>
    <row r="13" customFormat="false" ht="15" hidden="false" customHeight="true" outlineLevel="0" collapsed="false">
      <c r="A13" s="5" t="s">
        <v>9</v>
      </c>
    </row>
    <row r="14" customFormat="false" ht="109.5" hidden="false" customHeight="true" outlineLevel="0" collapsed="false">
      <c r="A14" s="7" t="s">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30"/>
    <col collapsed="false" customWidth="true" hidden="false" outlineLevel="0" max="3" min="3" style="1" width="12"/>
    <col collapsed="false" customWidth="true" hidden="false" outlineLevel="0" max="5" min="4" style="1" width="14"/>
    <col collapsed="false" customWidth="true" hidden="false" outlineLevel="0" max="6" min="6" style="1" width="12"/>
    <col collapsed="false" customWidth="true" hidden="false" outlineLevel="0" max="7" min="7" style="1" width="20"/>
    <col collapsed="false" customWidth="true" hidden="false" outlineLevel="0" max="8" min="8" style="1" width="40"/>
    <col collapsed="false" customWidth="true" hidden="false" outlineLevel="0" max="9" min="9" style="1" width="28"/>
    <col collapsed="false" customWidth="true" hidden="false" outlineLevel="0" max="10" min="10" style="1" width="46"/>
  </cols>
  <sheetData>
    <row r="1" customFormat="false" ht="31.5" hidden="false" customHeight="true" outlineLevel="0" collapsed="false">
      <c r="A1" s="8" t="s">
        <v>11</v>
      </c>
      <c r="B1" s="8" t="s">
        <v>12</v>
      </c>
      <c r="C1" s="8" t="s">
        <v>13</v>
      </c>
      <c r="D1" s="8" t="s">
        <v>14</v>
      </c>
      <c r="E1" s="8" t="s">
        <v>15</v>
      </c>
      <c r="F1" s="8" t="s">
        <v>16</v>
      </c>
      <c r="G1" s="8" t="s">
        <v>17</v>
      </c>
      <c r="H1" s="8" t="s">
        <v>18</v>
      </c>
      <c r="I1" s="8" t="s">
        <v>19</v>
      </c>
      <c r="J1" s="8" t="s">
        <v>20</v>
      </c>
    </row>
    <row r="2" customFormat="false" ht="129.75" hidden="false" customHeight="true" outlineLevel="0" collapsed="false">
      <c r="A2" s="9" t="s">
        <v>21</v>
      </c>
      <c r="B2" s="9" t="s">
        <v>22</v>
      </c>
      <c r="C2" s="9" t="s">
        <v>23</v>
      </c>
      <c r="D2" s="10" t="n">
        <v>5</v>
      </c>
      <c r="E2" s="10" t="n">
        <v>0.5</v>
      </c>
      <c r="F2" s="11" t="n">
        <f aca="false">IFERROR((D2-E2)/D2,"")</f>
        <v>0.9</v>
      </c>
      <c r="G2" s="9" t="s">
        <v>24</v>
      </c>
      <c r="H2" s="9" t="s">
        <v>25</v>
      </c>
      <c r="I2" s="9" t="s">
        <v>26</v>
      </c>
      <c r="J2" s="9" t="s">
        <v>27</v>
      </c>
    </row>
    <row r="3" customFormat="false" ht="144.75" hidden="false" customHeight="true" outlineLevel="0" collapsed="false">
      <c r="A3" s="9" t="s">
        <v>28</v>
      </c>
      <c r="B3" s="9" t="s">
        <v>29</v>
      </c>
      <c r="C3" s="9" t="s">
        <v>30</v>
      </c>
      <c r="D3" s="10" t="n">
        <v>8</v>
      </c>
      <c r="E3" s="10" t="n">
        <v>0.75</v>
      </c>
      <c r="F3" s="11" t="n">
        <f aca="false">IFERROR((D3-E3)/D3,"")</f>
        <v>0.90625</v>
      </c>
      <c r="G3" s="9" t="s">
        <v>31</v>
      </c>
      <c r="H3" s="9" t="s">
        <v>32</v>
      </c>
      <c r="I3" s="9" t="s">
        <v>33</v>
      </c>
      <c r="J3" s="9" t="s">
        <v>34</v>
      </c>
    </row>
    <row r="4" customFormat="false" ht="15" hidden="false" customHeight="true" outlineLevel="0" collapsed="false">
      <c r="A4" s="1" t="s">
        <v>35</v>
      </c>
      <c r="B4" s="1" t="s">
        <v>36</v>
      </c>
      <c r="C4" s="1" t="s">
        <v>37</v>
      </c>
      <c r="D4" s="1" t="n">
        <v>5</v>
      </c>
      <c r="G4" s="1" t="s">
        <v>38</v>
      </c>
      <c r="H4" s="1" t="s">
        <v>39</v>
      </c>
      <c r="I4" s="1" t="s">
        <v>40</v>
      </c>
      <c r="J4" s="1" t="s">
        <v>41</v>
      </c>
    </row>
    <row r="5" customFormat="false" ht="79.5" hidden="false" customHeight="true" outlineLevel="0" collapsed="false">
      <c r="A5" s="9" t="s">
        <v>42</v>
      </c>
      <c r="B5" s="9" t="s">
        <v>43</v>
      </c>
      <c r="C5" s="9" t="s">
        <v>44</v>
      </c>
      <c r="D5" s="10" t="n">
        <v>3.5</v>
      </c>
      <c r="E5" s="10"/>
      <c r="F5" s="11"/>
      <c r="G5" s="9" t="s">
        <v>45</v>
      </c>
      <c r="H5" s="9" t="s">
        <v>46</v>
      </c>
      <c r="I5" s="9" t="s">
        <v>47</v>
      </c>
      <c r="J5" s="9" t="s">
        <v>48</v>
      </c>
    </row>
    <row r="6" customFormat="false" ht="68.25" hidden="false" customHeight="true" outlineLevel="0" collapsed="false">
      <c r="A6" s="9" t="s">
        <v>49</v>
      </c>
      <c r="B6" s="9" t="s">
        <v>50</v>
      </c>
      <c r="C6" s="9" t="s">
        <v>44</v>
      </c>
      <c r="D6" s="10" t="n">
        <v>0.75</v>
      </c>
      <c r="E6" s="10"/>
      <c r="F6" s="11"/>
      <c r="G6" s="9" t="s">
        <v>51</v>
      </c>
      <c r="H6" s="9" t="s">
        <v>52</v>
      </c>
      <c r="I6" s="9" t="s">
        <v>53</v>
      </c>
      <c r="J6" s="9" t="s">
        <v>54</v>
      </c>
    </row>
    <row r="7" customFormat="false" ht="157.5" hidden="false" customHeight="true" outlineLevel="0" collapsed="false">
      <c r="A7" s="9" t="s">
        <v>55</v>
      </c>
      <c r="B7" s="9" t="s">
        <v>56</v>
      </c>
      <c r="C7" s="9" t="s">
        <v>57</v>
      </c>
      <c r="D7" s="10" t="n">
        <v>5</v>
      </c>
      <c r="E7" s="10"/>
      <c r="F7" s="11"/>
      <c r="G7" s="9" t="s">
        <v>58</v>
      </c>
      <c r="H7" s="9" t="s">
        <v>59</v>
      </c>
      <c r="I7" s="9" t="s">
        <v>60</v>
      </c>
      <c r="J7" s="9" t="s">
        <v>61</v>
      </c>
    </row>
    <row r="8" customFormat="false" ht="147" hidden="false" customHeight="true" outlineLevel="0" collapsed="false">
      <c r="A8" s="9" t="s">
        <v>62</v>
      </c>
      <c r="B8" s="9" t="s">
        <v>63</v>
      </c>
      <c r="C8" s="9" t="s">
        <v>64</v>
      </c>
      <c r="D8" s="10" t="n">
        <v>1.75</v>
      </c>
      <c r="E8" s="10" t="n">
        <v>0.25</v>
      </c>
      <c r="F8" s="11" t="n">
        <f aca="false">IFERROR((D8-E8)/D8,"")</f>
        <v>0.857142857142857</v>
      </c>
      <c r="G8" s="9" t="s">
        <v>65</v>
      </c>
      <c r="H8" s="9" t="s">
        <v>66</v>
      </c>
      <c r="I8" s="9" t="s">
        <v>67</v>
      </c>
      <c r="J8" s="9" t="s">
        <v>68</v>
      </c>
    </row>
    <row r="9" customFormat="false" ht="180" hidden="false" customHeight="true" outlineLevel="0" collapsed="false">
      <c r="A9" s="9" t="s">
        <v>69</v>
      </c>
      <c r="B9" s="9" t="s">
        <v>70</v>
      </c>
      <c r="C9" s="9" t="s">
        <v>64</v>
      </c>
      <c r="D9" s="10" t="n">
        <v>5.25</v>
      </c>
      <c r="E9" s="10" t="n">
        <v>0.375</v>
      </c>
      <c r="F9" s="11" t="n">
        <f aca="false">IFERROR((D9-E9)/D9,"")</f>
        <v>0.928571428571429</v>
      </c>
      <c r="G9" s="9" t="s">
        <v>71</v>
      </c>
      <c r="H9" s="9" t="s">
        <v>72</v>
      </c>
      <c r="I9" s="9" t="s">
        <v>73</v>
      </c>
      <c r="J9" s="9" t="s">
        <v>74</v>
      </c>
    </row>
    <row r="10" customFormat="false" ht="202.5" hidden="false" customHeight="true" outlineLevel="0" collapsed="false">
      <c r="A10" s="9" t="s">
        <v>75</v>
      </c>
      <c r="B10" s="9" t="s">
        <v>76</v>
      </c>
      <c r="C10" s="9" t="s">
        <v>77</v>
      </c>
      <c r="D10" s="10" t="n">
        <v>2.5</v>
      </c>
      <c r="E10" s="10" t="n">
        <v>0.292</v>
      </c>
      <c r="F10" s="11" t="n">
        <f aca="false">IFERROR((D10-E10)/D10,"")</f>
        <v>0.8832</v>
      </c>
      <c r="G10" s="9" t="s">
        <v>78</v>
      </c>
      <c r="H10" s="9" t="s">
        <v>79</v>
      </c>
      <c r="I10" s="9" t="s">
        <v>80</v>
      </c>
      <c r="J10" s="9" t="s">
        <v>81</v>
      </c>
    </row>
    <row r="11" customFormat="false" ht="270" hidden="false" customHeight="true" outlineLevel="0" collapsed="false">
      <c r="A11" s="9" t="s">
        <v>82</v>
      </c>
      <c r="B11" s="9" t="s">
        <v>83</v>
      </c>
      <c r="C11" s="9" t="s">
        <v>77</v>
      </c>
      <c r="D11" s="10" t="n">
        <v>6.5</v>
      </c>
      <c r="E11" s="10" t="n">
        <v>0.583</v>
      </c>
      <c r="F11" s="11" t="n">
        <f aca="false">IFERROR((D11-E11)/D11,"")</f>
        <v>0.910307692307692</v>
      </c>
      <c r="G11" s="9" t="s">
        <v>84</v>
      </c>
      <c r="H11" s="9" t="s">
        <v>85</v>
      </c>
      <c r="I11" s="9" t="s">
        <v>86</v>
      </c>
      <c r="J11" s="9" t="s">
        <v>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20"/>
  </cols>
  <sheetData>
    <row r="1" customFormat="false" ht="17.25" hidden="false" customHeight="true" outlineLevel="0" collapsed="false">
      <c r="A1" s="2" t="s">
        <v>88</v>
      </c>
    </row>
    <row r="3" customFormat="false" ht="15" hidden="false" customHeight="true" outlineLevel="0" collapsed="false">
      <c r="A3" s="5" t="s">
        <v>89</v>
      </c>
      <c r="B3" s="12" t="n">
        <f aca="false">COUNTA(Tracker!A2:A1000)</f>
        <v>10</v>
      </c>
    </row>
    <row r="4" customFormat="false" ht="15" hidden="false" customHeight="true" outlineLevel="0" collapsed="false">
      <c r="A4" s="5" t="s">
        <v>90</v>
      </c>
      <c r="B4" s="12" t="n">
        <f aca="false">SUM(Tracker!D2:D1000)</f>
        <v>43.25</v>
      </c>
    </row>
    <row r="5" customFormat="false" ht="15" hidden="false" customHeight="true" outlineLevel="0" collapsed="false">
      <c r="A5" s="5" t="s">
        <v>91</v>
      </c>
      <c r="B5" s="12" t="n">
        <f aca="false">SUM(Tracker!E2:E1000)</f>
        <v>2.75</v>
      </c>
    </row>
    <row r="6" customFormat="false" ht="15" hidden="false" customHeight="true" outlineLevel="0" collapsed="false">
      <c r="A6" s="5" t="s">
        <v>92</v>
      </c>
      <c r="B6" s="13" t="n">
        <f aca="false">IFERROR(MEDIAN(Tracker!F2:F1000),"")</f>
        <v>0.903125</v>
      </c>
    </row>
    <row r="7" customFormat="false" ht="15" hidden="false" customHeight="true" outlineLevel="0" collapsed="false">
      <c r="A7" s="1" t="s">
        <v>93</v>
      </c>
      <c r="B7" s="1" t="n">
        <f aca="false">COUNT(Tracker!E2:E1000)</f>
        <v>6</v>
      </c>
    </row>
    <row r="8" customFormat="false" ht="30" hidden="false" customHeight="true" outlineLevel="0" collapsed="false">
      <c r="A8" s="14" t="s">
        <v>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2026-09-03T09:20:42Z</dcterms:created>
  <dc:creator>openpyxl</dc:creator>
  <dc:description/>
  <dc:language>en-US</dc:language>
  <cp:lastModifiedBy/>
  <dcterms:modified xsi:type="dcterms:W3CDTF">2026-10-12T05:32:12Z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