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cker"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<sst xmlns="http://schemas.openxmlformats.org/spreadsheetml/2006/main" count="41" uniqueCount="41">
  <si>
    <t xml:space="preserve">Efficiency Tracker — Mining Maintenance Reliability Reporting Project</t>
  </si>
  <si>
    <t xml:space="preserve">Owner: Gagana Suresh</t>
  </si>
  <si>
    <t xml:space="preserve">Purpose: a running, task-by-task log of manual-time-estimate vs. actual-time-with-Claude, per the Master Plan (Section 3). This is the source data behind the project's efficiency-story narrative for the README, video, and LinkedIn article.</t>
  </si>
  <si>
    <t xml:space="preserve">How to use this workbook</t>
  </si>
  <si>
    <t xml:space="preserve">1. Log a task the moment you finish it, not retrospectively at the end of the project — see the honest-caveat note below for why this matters.</t>
  </si>
  <si>
    <t xml:space="preserve">2. "Estimated manual time" should ideally be written down BEFORE you start the task, based on how long this kind of work normally takes. If it wasn't recorded beforehand, flag that plainly in the Honest Caveat column — a retrospective estimate is weaker evidence than a pre-recorded one, and pretending otherwise would undermine the whole point of this tracker.</t>
  </si>
  <si>
    <t xml:space="preserve">3. "Actual time with Claude" should be the real elapsed time you spent on the task in this session, not just Claude's generation time — include your own review, follow-up prompts, and any manual edits.</t>
  </si>
  <si>
    <t xml:space="preserve">4. Quality signal must be concrete and countable (e.g. "caught 3 requirement gaps", "flagged a numerical inconsistency"), not a vague "AI helped a lot".</t>
  </si>
  <si>
    <t xml:space="preserve">5. Every entry needs an honest caveat. If nothing detracts from the number, say so explicitly rather than leaving the field blank — a blank field reads as an oversight, not as "nothing to disclose".</t>
  </si>
  <si>
    <t xml:space="preserve">Known limitation of this workbook — disclosed, not hidden</t>
  </si>
  <si>
    <t xml:space="preserve">This tracker was created on 3 September 2026, partway through the project. Tasks completed before this date (stakeholder register, all six interview transcripts, the scope-decisions log, and the BRD v1 draft itself) do not have a pre-recorded manual-time estimate or a stopwatch-timed actual duration — they were built across a live working session, not logged in real time. The BRD v1 entry on the Tracker sheet is the first logged entry, and its manual-time estimate is retrospective (given by Gagana after the task was already done, not before), and its actual-time figure is reconstructed from session activity rather than a stopwatch. This is disclosed explicitly in that row's Honest Caveat column rather than presented as clean data. From this point forward, tasks should be logged live, task by task, as the Master Plan originally specified.</t>
  </si>
  <si>
    <t xml:space="preserve">Task ID / Name</t>
  </si>
  <si>
    <t xml:space="preserve">Deliverable Produced</t>
  </si>
  <si>
    <t xml:space="preserve">Date</t>
  </si>
  <si>
    <t xml:space="preserve">Estimated Manual Time (hrs)</t>
  </si>
  <si>
    <t xml:space="preserve">Actual Time with Claude (hrs)</t>
  </si>
  <si>
    <t xml:space="preserve">Time Reduction</t>
  </si>
  <si>
    <t xml:space="preserve">AI Role in Task</t>
  </si>
  <si>
    <t xml:space="preserve">Quality Signal</t>
  </si>
  <si>
    <t xml:space="preserve">Technique Used</t>
  </si>
  <si>
    <t xml:space="preserve">Honest Caveat</t>
  </si>
  <si>
    <t xml:space="preserve">BRD v1 draft — Maintenance Reliability Reporting</t>
  </si>
  <si>
    <t xml:space="preserve">03-BRD-Maintenance-Reporting.md</t>
  </si>
  <si>
    <t xml:space="preserve">2026-09-03</t>
  </si>
  <si>
    <t xml:space="preserve">Drafting (synthesis) + structured output</t>
  </si>
  <si>
    <t xml:space="preserve">Zero-draft synthesis of 6 stakeholder interview transcripts + the full Scope-Decisions-and-Limitations-Log into a 17-section BRD in one pass, correctly separating data-derived findings from labelled assumptions throughout and converting 3 independently-corroborated stakeholder requests (asset-level rollup) into a single ranked FR-01 without being told to merge them.</t>
  </si>
  <si>
    <t xml:space="preserve">Template-constrained structured output; multi-source synthesis/triangulation across independent interviews</t>
  </si>
  <si>
    <t xml:space="preserve">Estimate is RETROSPECTIVE, not pre-recorded (this tracker didn't exist yet when the task started) — treat the 4-6hr manual estimate as directionally honest, not precise. Actual time is reconstructed from session activity, not a stopwatch, and covers drafting only — it excludes Gagana's own review time and the upcoming red-team-critique/v2-revision pass (Master Plan, Week 1 Day 5), which will be logged as its own separate task.</t>
  </si>
  <si>
    <t xml:space="preserve">Red-team critique + BRD v2 revision</t>
  </si>
  <si>
    <t xml:space="preserve">03-BRD-Maintenance-Reporting.md (v2)</t>
  </si>
  <si>
    <t xml:space="preserve">2026-09-04</t>
  </si>
  <si>
    <t xml:space="preserve">Critique (adversarial reviewer persona) + revision (structured fix-application)</t>
  </si>
  <si>
    <t xml:space="preserve">Independent adversarial pass returned 30 numbered findings across 6 categories, including a genuine self-contradiction (FR-06 labeled Must, worded as Should) and 2 locked business requirements (BR-04, BR-05) with zero corresponding functional requirement. Every finding was addressed and traced in a full v1→v2 change log (BRD Appendix B), not just acknowledged. Most valuable catch: the critique surfaced that v1's repeated "independent stakeholder corroboration" claims were never actually justified, since all 6 interview personas were generated by the same process — a real epistemic weakness in the document's own evidentiary reasoning, not a wording nitpick.</t>
  </si>
  <si>
    <t xml:space="preserve">Adversarial critique/red-team loop (role-prompted skeptical PM reviewer) run in a memory-isolated context, followed by structured finding-by-finding revision</t>
  </si>
  <si>
    <t xml:space="preserve">Manual-time estimate is retrospective, given after the task was already complete, not pre-recorded — same disclosed limitation as row 1. The critique itself was run and pasted in by Gagana (not automated by Claude in this session, by her own choice), so "actual time with Claude" here covers Claude's v2 revision work only, not the time Gagana spent running the critique prompt herself in a separate chat — the true end-to-end time (her critique run + this revision) is somewhat higher than the 0.75 hrs logged here.</t>
  </si>
  <si>
    <t xml:space="preserve">Live Summary Stats</t>
  </si>
  <si>
    <t xml:space="preserve">Tasks logged</t>
  </si>
  <si>
    <t xml:space="preserve">Total estimated manual hours</t>
  </si>
  <si>
    <t xml:space="preserve">Total actual hours with Claude</t>
  </si>
  <si>
    <t xml:space="preserve">Median time reduction</t>
  </si>
  <si>
    <t xml:space="preserve">Note: figures here are only as honest as the underlying entries — see the README sheet's disclosed limitation before quoting this summary anywhere public-facing.</t>
  </si>
</sst>
</file>

<file path=xl/styles.xml><?xml version="1.0" encoding="utf-8"?>
<styleSheet xmlns="http://schemas.openxmlformats.org/spreadsheetml/2006/main">
  <numFmts count="4">
    <numFmt numFmtId="164" formatCode="General"/>
    <numFmt numFmtId="165" formatCode="0.0"/>
    <numFmt numFmtId="166" formatCode="0.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5"/>
      <name val="Arial"/>
      <family val="0"/>
      <charset val="1"/>
    </font>
    <font>
      <b val="true"/>
      <sz val="11"/>
      <name val="Arial"/>
      <family val="0"/>
      <charset val="1"/>
    </font>
    <font>
      <i val="true"/>
      <sz val="10.5"/>
      <name val="Arial"/>
      <family val="0"/>
      <charset val="1"/>
    </font>
    <font>
      <b val="true"/>
      <sz val="10.5"/>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7" fontId="5"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25" hidden="false" customHeight="true" outlineLevel="0" collapsed="false">
      <c r="A1" s="2" t="s">
        <v>0</v>
      </c>
    </row>
    <row r="3" customFormat="false" ht="15" hidden="false" customHeight="true" outlineLevel="0" collapsed="false">
      <c r="A3" s="3" t="s">
        <v>1</v>
      </c>
    </row>
    <row r="4" customFormat="false" ht="30" hidden="false" customHeight="true" outlineLevel="0" collapsed="false">
      <c r="A4" s="4" t="s">
        <v>2</v>
      </c>
    </row>
    <row r="6" customFormat="false" ht="15" hidden="false" customHeight="true" outlineLevel="0" collapsed="false">
      <c r="A6" s="5" t="s">
        <v>3</v>
      </c>
    </row>
    <row r="7" customFormat="false" ht="27.75" hidden="false" customHeight="true" outlineLevel="0" collapsed="false">
      <c r="A7" s="6" t="s">
        <v>4</v>
      </c>
    </row>
    <row r="8" customFormat="false" ht="27.75" hidden="false" customHeight="true" outlineLevel="0" collapsed="false">
      <c r="A8" s="6" t="s">
        <v>5</v>
      </c>
    </row>
    <row r="9" customFormat="false" ht="27.75" hidden="false" customHeight="true" outlineLevel="0" collapsed="false">
      <c r="A9" s="6" t="s">
        <v>6</v>
      </c>
    </row>
    <row r="10" customFormat="false" ht="27.75" hidden="false" customHeight="true" outlineLevel="0" collapsed="false">
      <c r="A10" s="6" t="s">
        <v>7</v>
      </c>
    </row>
    <row r="11" customFormat="false" ht="27.75" hidden="false" customHeight="true" outlineLevel="0" collapsed="false">
      <c r="A11" s="6" t="s">
        <v>8</v>
      </c>
    </row>
    <row r="13" customFormat="false" ht="15" hidden="false" customHeight="true" outlineLevel="0" collapsed="false">
      <c r="A13" s="5" t="s">
        <v>9</v>
      </c>
    </row>
    <row r="14" customFormat="false" ht="109.5" hidden="false" customHeight="true" outlineLevel="0" collapsed="false">
      <c r="A14" s="7"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2"/>
    <col collapsed="false" customWidth="true" hidden="false" outlineLevel="0" max="5" min="4" style="1" width="14"/>
    <col collapsed="false" customWidth="true" hidden="false" outlineLevel="0" max="6" min="6" style="1" width="12"/>
    <col collapsed="false" customWidth="true" hidden="false" outlineLevel="0" max="7" min="7" style="1" width="20"/>
    <col collapsed="false" customWidth="true" hidden="false" outlineLevel="0" max="8" min="8" style="1" width="40"/>
    <col collapsed="false" customWidth="true" hidden="false" outlineLevel="0" max="9" min="9" style="1" width="28"/>
    <col collapsed="false" customWidth="true" hidden="false" outlineLevel="0" max="10" min="10" style="1" width="46"/>
  </cols>
  <sheetData>
    <row r="1" customFormat="false" ht="31.5" hidden="false" customHeight="true" outlineLevel="0" collapsed="false">
      <c r="A1" s="8" t="s">
        <v>11</v>
      </c>
      <c r="B1" s="8" t="s">
        <v>12</v>
      </c>
      <c r="C1" s="8" t="s">
        <v>13</v>
      </c>
      <c r="D1" s="8" t="s">
        <v>14</v>
      </c>
      <c r="E1" s="8" t="s">
        <v>15</v>
      </c>
      <c r="F1" s="8" t="s">
        <v>16</v>
      </c>
      <c r="G1" s="8" t="s">
        <v>17</v>
      </c>
      <c r="H1" s="8" t="s">
        <v>18</v>
      </c>
      <c r="I1" s="8" t="s">
        <v>19</v>
      </c>
      <c r="J1" s="8" t="s">
        <v>20</v>
      </c>
    </row>
    <row r="2" customFormat="false" ht="129.75" hidden="false" customHeight="true" outlineLevel="0" collapsed="false">
      <c r="A2" s="9" t="s">
        <v>21</v>
      </c>
      <c r="B2" s="9" t="s">
        <v>22</v>
      </c>
      <c r="C2" s="9" t="s">
        <v>23</v>
      </c>
      <c r="D2" s="10" t="n">
        <v>5</v>
      </c>
      <c r="E2" s="10" t="n">
        <v>0.5</v>
      </c>
      <c r="F2" s="11" t="n">
        <f aca="false">IFERROR((D2-E2)/D2,"")</f>
        <v>0.9</v>
      </c>
      <c r="G2" s="9" t="s">
        <v>24</v>
      </c>
      <c r="H2" s="9" t="s">
        <v>25</v>
      </c>
      <c r="I2" s="9" t="s">
        <v>26</v>
      </c>
      <c r="J2" s="9" t="s">
        <v>27</v>
      </c>
    </row>
    <row r="3" customFormat="false" ht="144.75" hidden="false" customHeight="true" outlineLevel="0" collapsed="false">
      <c r="A3" s="9" t="s">
        <v>28</v>
      </c>
      <c r="B3" s="9" t="s">
        <v>29</v>
      </c>
      <c r="C3" s="9" t="s">
        <v>30</v>
      </c>
      <c r="D3" s="10" t="n">
        <v>8</v>
      </c>
      <c r="E3" s="10" t="n">
        <v>0.75</v>
      </c>
      <c r="F3" s="11" t="n">
        <f aca="false">IFERROR((D3-E3)/D3,"")</f>
        <v>0.90625</v>
      </c>
      <c r="G3" s="9" t="s">
        <v>31</v>
      </c>
      <c r="H3" s="9" t="s">
        <v>32</v>
      </c>
      <c r="I3" s="9" t="s">
        <v>33</v>
      </c>
      <c r="J3" s="9"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0"/>
  </cols>
  <sheetData>
    <row r="1" customFormat="false" ht="17.25" hidden="false" customHeight="true" outlineLevel="0" collapsed="false">
      <c r="A1" s="2" t="s">
        <v>35</v>
      </c>
    </row>
    <row r="3" customFormat="false" ht="15" hidden="false" customHeight="true" outlineLevel="0" collapsed="false">
      <c r="A3" s="5" t="s">
        <v>36</v>
      </c>
      <c r="B3" s="12" t="n">
        <f aca="false">COUNTA(Tracker!A2:A1000)</f>
        <v>2</v>
      </c>
    </row>
    <row r="4" customFormat="false" ht="15" hidden="false" customHeight="true" outlineLevel="0" collapsed="false">
      <c r="A4" s="5" t="s">
        <v>37</v>
      </c>
      <c r="B4" s="12" t="n">
        <f aca="false">SUM(Tracker!D2:D1000)</f>
        <v>13</v>
      </c>
    </row>
    <row r="5" customFormat="false" ht="15" hidden="false" customHeight="true" outlineLevel="0" collapsed="false">
      <c r="A5" s="5" t="s">
        <v>38</v>
      </c>
      <c r="B5" s="12" t="n">
        <f aca="false">SUM(Tracker!E2:E1000)</f>
        <v>1.25</v>
      </c>
    </row>
    <row r="6" customFormat="false" ht="15" hidden="false" customHeight="true" outlineLevel="0" collapsed="false">
      <c r="A6" s="5" t="s">
        <v>39</v>
      </c>
      <c r="B6" s="13" t="n">
        <f aca="false">IFERROR(MEDIAN(Tracker!F2:F1000),"")</f>
        <v>0.903125</v>
      </c>
    </row>
    <row r="8" customFormat="false" ht="30" hidden="false" customHeight="true" outlineLevel="0" collapsed="false">
      <c r="A8" s="14"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2026-09-03T09:20:42Z</dcterms:created>
  <dc:creator>openpyxl</dc:creator>
  <dc:description/>
  <dc:language>en-US</dc:language>
  <cp:lastModifiedBy/>
  <dcterms:modified xsi:type="dcterms:W3CDTF">2026-09-04T05:41:03Z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