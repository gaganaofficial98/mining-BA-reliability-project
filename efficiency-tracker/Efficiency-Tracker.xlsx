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ME" sheetId="1" state="visible" r:id="rId1"/>
    <sheet xmlns:r="http://schemas.openxmlformats.org/officeDocument/2006/relationships" name="Tracker" sheetId="2" state="visible" r:id="rId2"/>
    <sheet xmlns:r="http://schemas.openxmlformats.org/officeDocument/2006/relationships" name="Summary"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0.0%"/>
  </numFmts>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sz val="10.5"/>
    </font>
    <font>
      <name val="Arial"/>
      <charset val="1"/>
      <family val="0"/>
      <b val="1"/>
      <sz val="11"/>
    </font>
    <font>
      <name val="Arial"/>
      <charset val="1"/>
      <family val="0"/>
      <i val="1"/>
      <sz val="10.5"/>
    </font>
    <font>
      <name val="Arial"/>
      <charset val="1"/>
      <family val="0"/>
      <b val="1"/>
      <color rgb="FFFFFFFF"/>
      <sz val="10.5"/>
    </font>
    <font>
      <name val="Arial"/>
      <charset val="1"/>
      <family val="0"/>
      <sz val="10"/>
    </font>
  </fonts>
  <fills count="3">
    <fill>
      <patternFill/>
    </fill>
    <fill>
      <patternFill patternType="gray125"/>
    </fill>
    <fill>
      <patternFill patternType="solid">
        <fgColor rgb="FF1F4E78"/>
        <bgColor rgb="FF003366"/>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5" fillId="0" borderId="0" applyAlignment="1" pivotButton="0" quotePrefix="0" xfId="0">
      <alignment horizontal="general" vertical="bottom"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1" applyAlignment="1" pivotButton="0" quotePrefix="0" xfId="0">
      <alignment horizontal="center" vertical="center" wrapText="1"/>
    </xf>
    <xf numFmtId="0" fontId="9" fillId="0" borderId="1" applyAlignment="1" pivotButton="0" quotePrefix="0" xfId="0">
      <alignment horizontal="general" vertical="top" wrapText="1"/>
    </xf>
    <xf numFmtId="164" fontId="9" fillId="0" borderId="1" applyAlignment="1" pivotButton="0" quotePrefix="0" xfId="0">
      <alignment horizontal="center" vertical="top"/>
    </xf>
    <xf numFmtId="165" fontId="9" fillId="0" borderId="1" applyAlignment="1" pivotButton="0" quotePrefix="0" xfId="0">
      <alignment horizontal="center" vertical="top"/>
    </xf>
    <xf numFmtId="0" fontId="5" fillId="0" borderId="0" applyAlignment="1" pivotButton="0" quotePrefix="0" xfId="0">
      <alignment horizontal="left" vertical="bottom"/>
    </xf>
    <xf numFmtId="165" fontId="0" fillId="0" borderId="0" applyAlignment="1" pivotButton="0" quotePrefix="0" xfId="0">
      <alignment horizontal="general" vertical="bottom"/>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5" fillId="0" borderId="0" applyAlignment="1" pivotButton="0" quotePrefix="0" xfId="0">
      <alignment horizontal="general" vertical="bottom"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1" applyAlignment="1" pivotButton="0" quotePrefix="0" xfId="0">
      <alignment horizontal="center" vertical="center" wrapText="1"/>
    </xf>
    <xf numFmtId="0" fontId="9" fillId="0" borderId="1" applyAlignment="1" pivotButton="0" quotePrefix="0" xfId="0">
      <alignment horizontal="general" vertical="top" wrapText="1"/>
    </xf>
    <xf numFmtId="164" fontId="9" fillId="0" borderId="1" applyAlignment="1" pivotButton="0" quotePrefix="0" xfId="0">
      <alignment horizontal="center" vertical="top"/>
    </xf>
    <xf numFmtId="165" fontId="9" fillId="0" borderId="1" applyAlignment="1" pivotButton="0" quotePrefix="0" xfId="0">
      <alignment horizontal="center" vertical="top"/>
    </xf>
    <xf numFmtId="0" fontId="5" fillId="0" borderId="0" applyAlignment="1" pivotButton="0" quotePrefix="0" xfId="0">
      <alignment horizontal="left" vertical="bottom"/>
    </xf>
    <xf numFmtId="165" fontId="0" fillId="0" borderId="0" applyAlignment="1" pivotButton="0" quotePrefix="0" xfId="0">
      <alignment horizontal="general" vertical="bottom"/>
    </xf>
    <xf numFmtId="0" fontId="7"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1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0" customWidth="1" style="15" min="1" max="1"/>
  </cols>
  <sheetData>
    <row r="1" ht="17.25" customHeight="1" s="16">
      <c r="A1" s="17" t="inlineStr">
        <is>
          <t>Efficiency Tracker — Mining Maintenance Reliability Reporting Project</t>
        </is>
      </c>
    </row>
    <row r="3" ht="15" customHeight="1" s="16">
      <c r="A3" s="18" t="inlineStr">
        <is>
          <t>Owner: Gagana Suresh</t>
        </is>
      </c>
    </row>
    <row r="4" ht="30" customHeight="1" s="16">
      <c r="A4" s="19" t="inlineStr">
        <is>
          <t>Purpose: a running, task-by-task log of manual-time-estimate vs. actual-time-with-Claude, per the Master Plan (Section 3). This is the source data behind the project's efficiency-story narrative for the README, video, and LinkedIn article.</t>
        </is>
      </c>
    </row>
    <row r="6" ht="15" customHeight="1" s="16">
      <c r="A6" s="20" t="inlineStr">
        <is>
          <t>How to use this workbook</t>
        </is>
      </c>
    </row>
    <row r="7" ht="27.75" customHeight="1" s="16">
      <c r="A7" s="21" t="inlineStr">
        <is>
          <t>1. Log a task the moment you finish it, not retrospectively at the end of the project — see the honest-caveat note below for why this matters.</t>
        </is>
      </c>
    </row>
    <row r="8" ht="27.75" customHeight="1" s="16">
      <c r="A8" s="21" t="inlineStr">
        <is>
          <t>2. "Estimated manual time" should ideally be written down BEFORE you start the task, based on how long this kind of work normally takes. If it wasn't recorded beforehand, flag that plainly in the Honest Caveat column — a retrospective estimate is weaker evidence than a pre-recorded one, and pretending otherwise would undermine the whole point of this tracker.</t>
        </is>
      </c>
    </row>
    <row r="9" ht="27.75" customHeight="1" s="16">
      <c r="A9" s="21" t="inlineStr">
        <is>
          <t>3. "Actual time with Claude" should be the real elapsed time you spent on the task in this session, not just Claude's generation time — include your own review, follow-up prompts, and any manual edits.</t>
        </is>
      </c>
    </row>
    <row r="10" ht="27.75" customHeight="1" s="16">
      <c r="A10" s="21" t="inlineStr">
        <is>
          <t>4. Quality signal must be concrete and countable (e.g. "caught 3 requirement gaps", "flagged a numerical inconsistency"), not a vague "AI helped a lot".</t>
        </is>
      </c>
    </row>
    <row r="11" ht="27.75" customHeight="1" s="16">
      <c r="A11" s="21" t="inlineStr">
        <is>
          <t>5. Every entry needs an honest caveat. If nothing detracts from the number, say so explicitly rather than leaving the field blank — a blank field reads as an oversight, not as "nothing to disclose".</t>
        </is>
      </c>
    </row>
    <row r="13" ht="15" customHeight="1" s="16">
      <c r="A13" s="20" t="inlineStr">
        <is>
          <t>Known limitation of this workbook — disclosed, not hidden</t>
        </is>
      </c>
    </row>
    <row r="14" ht="109.5" customHeight="1" s="16">
      <c r="A14" s="22" t="inlineStr">
        <is>
          <t>This tracker was created on 3 September 2026, partway through the project. Tasks completed before this date (stakeholder register, all six interview transcripts, the scope-decisions log, and the BRD v1 draft itself) do not have a pre-recorded manual-time estimate or a stopwatch-timed actual duration — they were built across a live working session, not logged in real time. The BRD v1 entry on the Tracker sheet is the first logged entry, and its manual-time estimate is retrospective (given by Gagana after the task was already done, not before), and its actual-time figure is reconstructed from session activity rather than a stopwatch. This is disclosed explicitly in that row's Honest Caveat column rather than presented as clean data. From this point forward, tasks should be logged live, task by task, as the Master Plan originally specified.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J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5" min="1" max="1"/>
    <col width="30" customWidth="1" style="15" min="2" max="2"/>
    <col width="12" customWidth="1" style="15" min="3" max="3"/>
    <col width="14" customWidth="1" style="15" min="4" max="5"/>
    <col width="12" customWidth="1" style="15" min="6" max="6"/>
    <col width="20" customWidth="1" style="15" min="7" max="7"/>
    <col width="40" customWidth="1" style="15" min="8" max="8"/>
    <col width="28" customWidth="1" style="15" min="9" max="9"/>
    <col width="46" customWidth="1" style="15" min="10" max="10"/>
  </cols>
  <sheetData>
    <row r="1" ht="31.5" customHeight="1" s="16">
      <c r="A1" s="23" t="inlineStr">
        <is>
          <t>Task ID / Name</t>
        </is>
      </c>
      <c r="B1" s="23" t="inlineStr">
        <is>
          <t>Deliverable Produced</t>
        </is>
      </c>
      <c r="C1" s="23" t="inlineStr">
        <is>
          <t>Date</t>
        </is>
      </c>
      <c r="D1" s="23" t="inlineStr">
        <is>
          <t>Estimated Manual Time (hrs)</t>
        </is>
      </c>
      <c r="E1" s="23" t="inlineStr">
        <is>
          <t>Actual Time with Claude (hrs)</t>
        </is>
      </c>
      <c r="F1" s="23" t="inlineStr">
        <is>
          <t>Time Reduction</t>
        </is>
      </c>
      <c r="G1" s="23" t="inlineStr">
        <is>
          <t>AI Role in Task</t>
        </is>
      </c>
      <c r="H1" s="23" t="inlineStr">
        <is>
          <t>Quality Signal</t>
        </is>
      </c>
      <c r="I1" s="23" t="inlineStr">
        <is>
          <t>Technique Used</t>
        </is>
      </c>
      <c r="J1" s="23" t="inlineStr">
        <is>
          <t>Honest Caveat</t>
        </is>
      </c>
    </row>
    <row r="2" ht="129.75" customHeight="1" s="16">
      <c r="A2" s="24" t="inlineStr">
        <is>
          <t>BRD v1 draft — Maintenance Reliability Reporting</t>
        </is>
      </c>
      <c r="B2" s="24" t="inlineStr">
        <is>
          <t>03-BRD-Maintenance-Reporting.md</t>
        </is>
      </c>
      <c r="C2" s="24" t="inlineStr">
        <is>
          <t>2026-09-03</t>
        </is>
      </c>
      <c r="D2" s="25" t="n">
        <v>5</v>
      </c>
      <c r="E2" s="25" t="n">
        <v>0.5</v>
      </c>
      <c r="F2" s="26">
        <f>IFERROR((D2-E2)/D2,"")</f>
        <v/>
      </c>
      <c r="G2" s="24" t="inlineStr">
        <is>
          <t>Drafting (synthesis) + structured output</t>
        </is>
      </c>
      <c r="H2" s="24" t="inlineStr">
        <is>
          <t>Zero-draft synthesis of 6 stakeholder interview transcripts + the full Scope-Decisions-and-Limitations-Log into a 17-section BRD in one pass, correctly separating data-derived findings from labelled assumptions throughout and converting 3 independently-corroborated stakeholder requests (asset-level rollup) into a single ranked FR-01 without being told to merge them.</t>
        </is>
      </c>
      <c r="I2" s="24" t="inlineStr">
        <is>
          <t>Template-constrained structured output; multi-source synthesis/triangulation across independent interviews</t>
        </is>
      </c>
      <c r="J2" s="24" t="inlineStr">
        <is>
          <t>Estimate is RETROSPECTIVE, not pre-recorded (this tracker didn't exist yet when the task started) — treat the 4-6hr manual estimate as directionally honest, not precise. Actual time is reconstructed from session activity, not a stopwatch, and covers drafting only — it excludes Gagana's own review time and the upcoming red-team-critique/v2-revision pass (Master Plan, Week 1 Day 5), which will be logged as its own separate task.</t>
        </is>
      </c>
    </row>
    <row r="3" ht="144.75" customHeight="1" s="16"/>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2" customWidth="1" style="15" min="1" max="1"/>
    <col width="20" customWidth="1" style="15" min="2" max="2"/>
  </cols>
  <sheetData>
    <row r="1" ht="17.25" customHeight="1" s="16">
      <c r="A1" s="17" t="inlineStr">
        <is>
          <t>Live Summary Stats</t>
        </is>
      </c>
    </row>
    <row r="2">
      <c r="B2" t="n">
        <v>1</v>
      </c>
    </row>
    <row r="3" ht="15" customHeight="1" s="16">
      <c r="A3" s="20" t="inlineStr">
        <is>
          <t>Tasks logged</t>
        </is>
      </c>
      <c r="B3" s="27" t="n">
        <v>5</v>
      </c>
    </row>
    <row r="4" ht="15" customHeight="1" s="16">
      <c r="A4" s="20" t="inlineStr">
        <is>
          <t>Total estimated manual hours</t>
        </is>
      </c>
      <c r="B4" s="27" t="n">
        <v>0.5</v>
      </c>
    </row>
    <row r="5" ht="15" customHeight="1" s="16">
      <c r="A5" s="20" t="inlineStr">
        <is>
          <t>Total actual hours with Claude</t>
        </is>
      </c>
      <c r="B5" s="27" t="n">
        <v>0.9</v>
      </c>
    </row>
    <row r="6" ht="15" customHeight="1" s="16">
      <c r="A6" s="20" t="inlineStr">
        <is>
          <t>Median time reduction</t>
        </is>
      </c>
      <c r="B6" s="28">
        <f>IFERROR(MEDIAN(Tracker!F2:F1000),"")</f>
        <v/>
      </c>
    </row>
    <row r="8" ht="30" customHeight="1" s="16">
      <c r="A8" s="29" t="inlineStr">
        <is>
          <t>Note: figures here are only as honest as the underlying entries — see the README sheet's disclosed limitation before quoting this summary anywhere public-facing.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2026-09-03T09:20:42Z</dcterms:created>
  <dcterms:modified xmlns:dcterms="http://purl.org/dc/terms/" xmlns:xsi="http://www.w3.org/2001/XMLSchema-instance" xsi:type="dcterms:W3CDTF">2026-09-09T06:49:22Z</dcterms:modified>
  <cp:revision>0</cp:revision>
</cp:coreProperties>
</file>